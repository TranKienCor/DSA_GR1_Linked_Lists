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k\Downloads\DSA_GR1_Linked_List\Grading\"/>
    </mc:Choice>
  </mc:AlternateContent>
  <xr:revisionPtr revIDLastSave="0" documentId="13_ncr:1_{C14F92E3-F644-4A2E-B1B1-E3E50E57CBBF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DanhSachSV" sheetId="1" r:id="rId1"/>
    <sheet name="Hand-writing" sheetId="2" r:id="rId2"/>
    <sheet name="Homework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3" i="4"/>
  <c r="I34" i="4"/>
  <c r="I35" i="4"/>
  <c r="I36" i="4"/>
  <c r="I37" i="4"/>
  <c r="I38" i="4"/>
  <c r="I39" i="4"/>
  <c r="I40" i="4"/>
  <c r="I41" i="4"/>
  <c r="I6" i="4"/>
  <c r="I7" i="4"/>
  <c r="I8" i="4"/>
  <c r="I9" i="4"/>
  <c r="I5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H6" i="2"/>
  <c r="H7" i="2"/>
  <c r="H8" i="2"/>
  <c r="H9" i="2"/>
  <c r="H10" i="2"/>
  <c r="H11" i="2"/>
  <c r="H12" i="2"/>
  <c r="H13" i="2"/>
  <c r="H14" i="2"/>
  <c r="H16" i="2"/>
  <c r="H17" i="2"/>
  <c r="H18" i="2"/>
  <c r="H22" i="2"/>
  <c r="H24" i="2"/>
  <c r="H25" i="2"/>
  <c r="H26" i="2"/>
  <c r="H27" i="2"/>
  <c r="H28" i="2"/>
  <c r="H30" i="2"/>
  <c r="H31" i="2"/>
  <c r="H32" i="2"/>
  <c r="H33" i="2"/>
  <c r="H34" i="2"/>
  <c r="H35" i="2"/>
  <c r="H36" i="2"/>
  <c r="H37" i="2"/>
  <c r="H38" i="2"/>
  <c r="H39" i="2"/>
  <c r="H40" i="2"/>
  <c r="H41" i="2"/>
  <c r="H5" i="2"/>
  <c r="A41" i="2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12" i="1"/>
  <c r="A39" i="2"/>
  <c r="A40" i="2"/>
  <c r="A36" i="2"/>
  <c r="A37" i="2"/>
  <c r="A38" i="2"/>
  <c r="A32" i="2"/>
  <c r="A33" i="2"/>
  <c r="A34" i="2"/>
  <c r="A35" i="2"/>
  <c r="A28" i="2"/>
  <c r="A29" i="2"/>
  <c r="A30" i="2"/>
  <c r="A31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5" i="2"/>
</calcChain>
</file>

<file path=xl/sharedStrings.xml><?xml version="1.0" encoding="utf-8"?>
<sst xmlns="http://schemas.openxmlformats.org/spreadsheetml/2006/main" count="615" uniqueCount="333">
  <si>
    <t>Học viện Công nghệ Bưu chính Viễn thông – Cơ sở tại TP. Hồ Chí Minh</t>
  </si>
  <si>
    <t>Cộng Hòa Xã Hội Chủ Nghĩa Việt Nam</t>
  </si>
  <si>
    <t xml:space="preserve">      Phòng Đào tạo Đại học</t>
  </si>
  <si>
    <t xml:space="preserve">        Độc lập - Tự do - Hạnh phúc</t>
  </si>
  <si>
    <t>BẢNG KẾT QUẢ ĐIỂM DANH HỌC PHẦN</t>
  </si>
  <si>
    <t xml:space="preserve">       HỌC KỲ 1 - NĂM HỌC 2026 - 2027</t>
  </si>
  <si>
    <t>Học phần</t>
  </si>
  <si>
    <t>Cấu trúc dữ liệu và giải thuật</t>
  </si>
  <si>
    <t>Mã học phần</t>
  </si>
  <si>
    <t>INT1306_CLC</t>
  </si>
  <si>
    <t>Tên giảng viên</t>
  </si>
  <si>
    <t>Lê Ngọc Hiếu</t>
  </si>
  <si>
    <t>Mã giảng viên</t>
  </si>
  <si>
    <t>GV/N-20336</t>
  </si>
  <si>
    <t>Số tín chỉ</t>
  </si>
  <si>
    <t>3</t>
  </si>
  <si>
    <t>Nhóm tổ</t>
  </si>
  <si>
    <t>02-01</t>
  </si>
  <si>
    <t>STT</t>
  </si>
  <si>
    <t>Mã SV</t>
  </si>
  <si>
    <t>Họ lót</t>
  </si>
  <si>
    <t>Tên</t>
  </si>
  <si>
    <t>Tên lớp</t>
  </si>
  <si>
    <t>Ngày sinh</t>
  </si>
  <si>
    <t>Điện thoại</t>
  </si>
  <si>
    <t>Email</t>
  </si>
  <si>
    <t>N25DECE077</t>
  </si>
  <si>
    <t>Trần Quốc</t>
  </si>
  <si>
    <t>Anh</t>
  </si>
  <si>
    <t>E25CQCE02-N</t>
  </si>
  <si>
    <t>ĐHCQ - Ngành Công  nghệ thông tin - CLC - 2025 - 2</t>
  </si>
  <si>
    <t>16/01/2007</t>
  </si>
  <si>
    <t>0981812636</t>
  </si>
  <si>
    <t>n25dece077@student.ptithcm.edu.vn</t>
  </si>
  <si>
    <t>N25DECE046</t>
  </si>
  <si>
    <t>Nguyễn Hữu Chí</t>
  </si>
  <si>
    <t>Bảo</t>
  </si>
  <si>
    <t>01/09/2007</t>
  </si>
  <si>
    <t>0947549916</t>
  </si>
  <si>
    <t>n25dece046@student.ptithcm.edu.vn</t>
  </si>
  <si>
    <t>N25DECE048</t>
  </si>
  <si>
    <t>Nguyễn Hàm Anh</t>
  </si>
  <si>
    <t>Dũng</t>
  </si>
  <si>
    <t>18/12/2007</t>
  </si>
  <si>
    <t>0862197003</t>
  </si>
  <si>
    <t>n25dece048@student.ptithcm.edu.vn</t>
  </si>
  <si>
    <t>N25DECE049</t>
  </si>
  <si>
    <t>Thái Dương Tuấn</t>
  </si>
  <si>
    <t>03/02/2007</t>
  </si>
  <si>
    <t>0367639135</t>
  </si>
  <si>
    <t>n25dece049@student.ptithcm.edu.vn</t>
  </si>
  <si>
    <t>N25DECE079</t>
  </si>
  <si>
    <t>Nguyễn Anh</t>
  </si>
  <si>
    <t>Đức</t>
  </si>
  <si>
    <t>12/06/2007</t>
  </si>
  <si>
    <t>0972947151</t>
  </si>
  <si>
    <t>n25dece079@student.ptithcm.edu.vn</t>
  </si>
  <si>
    <t>N25DECE047</t>
  </si>
  <si>
    <t>Phan Quang</t>
  </si>
  <si>
    <t>22/06/2007</t>
  </si>
  <si>
    <t>0793597725</t>
  </si>
  <si>
    <t>n25dece047@student.ptithcm.edu.vn</t>
  </si>
  <si>
    <t>N25DECE080</t>
  </si>
  <si>
    <t>Thẩm Trường</t>
  </si>
  <si>
    <t>Giang</t>
  </si>
  <si>
    <t>15/01/2007</t>
  </si>
  <si>
    <t>0335473346</t>
  </si>
  <si>
    <t>n25dece080@student.ptithcm.edu.vn</t>
  </si>
  <si>
    <t>N25DECE051</t>
  </si>
  <si>
    <t>Lê</t>
  </si>
  <si>
    <t>Hoàng</t>
  </si>
  <si>
    <t>22/05/2007</t>
  </si>
  <si>
    <t>0938492205</t>
  </si>
  <si>
    <t>n25dece051@student.ptithcm.edu.vn</t>
  </si>
  <si>
    <t>N25DECE081</t>
  </si>
  <si>
    <t>Lê Quốc</t>
  </si>
  <si>
    <t>Hưng</t>
  </si>
  <si>
    <t>25/04/2007</t>
  </si>
  <si>
    <t>0913004725</t>
  </si>
  <si>
    <t>n25dece081@student.ptithcm.edu.vn</t>
  </si>
  <si>
    <t>N25DECE053</t>
  </si>
  <si>
    <t>Nguyễn Gia</t>
  </si>
  <si>
    <t>Khang</t>
  </si>
  <si>
    <t>16/09/2007</t>
  </si>
  <si>
    <t>0842907738</t>
  </si>
  <si>
    <t>n25dece053@student.ptithcm.edu.vn</t>
  </si>
  <si>
    <t>N25DECE054</t>
  </si>
  <si>
    <t>Trần Trung</t>
  </si>
  <si>
    <t>Kiên</t>
  </si>
  <si>
    <t>01/03/2007</t>
  </si>
  <si>
    <t>0364424218</t>
  </si>
  <si>
    <t>n25dece054@student.ptithcm.edu.vn</t>
  </si>
  <si>
    <t>N25DECE055</t>
  </si>
  <si>
    <t>Võ</t>
  </si>
  <si>
    <t>Lâm</t>
  </si>
  <si>
    <t>07/08/2007</t>
  </si>
  <si>
    <t>0782928802</t>
  </si>
  <si>
    <t>n25dece055@student.ptithcm.edu.vn</t>
  </si>
  <si>
    <t>N25DECE082</t>
  </si>
  <si>
    <t>Ngô Trí</t>
  </si>
  <si>
    <t>Long</t>
  </si>
  <si>
    <t>18/04/2006</t>
  </si>
  <si>
    <t>0909650635</t>
  </si>
  <si>
    <t>n25dece082@student.ptithcm.edu.vn</t>
  </si>
  <si>
    <t>N25DECE056</t>
  </si>
  <si>
    <t>Tô Tấn</t>
  </si>
  <si>
    <t>Lực</t>
  </si>
  <si>
    <t>22/04/2007</t>
  </si>
  <si>
    <t>0919576853</t>
  </si>
  <si>
    <t>n25dece056@student.ptithcm.edu.vn</t>
  </si>
  <si>
    <t>N25DECE057</t>
  </si>
  <si>
    <t>Bùi Thanh</t>
  </si>
  <si>
    <t>Minh</t>
  </si>
  <si>
    <t>02/01/2007</t>
  </si>
  <si>
    <t>0399457546</t>
  </si>
  <si>
    <t>n25dece057@student.ptithcm.edu.vn</t>
  </si>
  <si>
    <t>N25DECE058</t>
  </si>
  <si>
    <t>Châu Khánh</t>
  </si>
  <si>
    <t>Ngọc</t>
  </si>
  <si>
    <t>17/05/2007</t>
  </si>
  <si>
    <t>0819829477</t>
  </si>
  <si>
    <t>n25dece058@student.ptithcm.edu.vn</t>
  </si>
  <si>
    <t>N25DECE059</t>
  </si>
  <si>
    <t>Nguyễn Thanh</t>
  </si>
  <si>
    <t>Nhân</t>
  </si>
  <si>
    <t>01/06/2007</t>
  </si>
  <si>
    <t>0333044214</t>
  </si>
  <si>
    <t>n25dece059@student.ptithcm.edu.vn</t>
  </si>
  <si>
    <t>N25DECE083</t>
  </si>
  <si>
    <t>Hoàng Trí</t>
  </si>
  <si>
    <t>Nhật</t>
  </si>
  <si>
    <t>10/11/2007</t>
  </si>
  <si>
    <t>0364485426</t>
  </si>
  <si>
    <t>n25dece083@student.ptithcm.edu.vn</t>
  </si>
  <si>
    <t>N25DECE060</t>
  </si>
  <si>
    <t>Nguyễn Minh</t>
  </si>
  <si>
    <t>15/03/2007</t>
  </si>
  <si>
    <t>0961132134</t>
  </si>
  <si>
    <t>n25dece060@student.ptithcm.edu.vn</t>
  </si>
  <si>
    <t>N25DECE061</t>
  </si>
  <si>
    <t>Phạm Thị Quỳnh</t>
  </si>
  <si>
    <t>Như</t>
  </si>
  <si>
    <t>10/02/2007</t>
  </si>
  <si>
    <t>0582945030</t>
  </si>
  <si>
    <t>n25dece061@student.ptithcm.edu.vn</t>
  </si>
  <si>
    <t>N25DECE062</t>
  </si>
  <si>
    <t>Vũ Lê Thành</t>
  </si>
  <si>
    <t>Phát</t>
  </si>
  <si>
    <t>06/04/2007</t>
  </si>
  <si>
    <t>0833002818</t>
  </si>
  <si>
    <t>n25dece062@student.ptithcm.edu.vn</t>
  </si>
  <si>
    <t>N25DECE063</t>
  </si>
  <si>
    <t>Võ Triệu</t>
  </si>
  <si>
    <t>Phú</t>
  </si>
  <si>
    <t>09/06/2007</t>
  </si>
  <si>
    <t>0948772670</t>
  </si>
  <si>
    <t>n25dece063@student.ptithcm.edu.vn</t>
  </si>
  <si>
    <t>N25DECE084</t>
  </si>
  <si>
    <t>Nguyễn Hoàng Phú</t>
  </si>
  <si>
    <t>Tài</t>
  </si>
  <si>
    <t>11/08/2007</t>
  </si>
  <si>
    <t>0814754075</t>
  </si>
  <si>
    <t>n25dece084@student.ptithcm.edu.vn</t>
  </si>
  <si>
    <t>N25DECE065</t>
  </si>
  <si>
    <t>Phan Đoàn Thành</t>
  </si>
  <si>
    <t>21/03/2007</t>
  </si>
  <si>
    <t>0909036779</t>
  </si>
  <si>
    <t>n25dece065@student.ptithcm.edu.vn</t>
  </si>
  <si>
    <t>N25DECE067</t>
  </si>
  <si>
    <t>Trần</t>
  </si>
  <si>
    <t>Thành</t>
  </si>
  <si>
    <t>28/02/2007</t>
  </si>
  <si>
    <t>0879322526</t>
  </si>
  <si>
    <t>n25dece067@student.ptithcm.edu.vn</t>
  </si>
  <si>
    <t>N25DECE068</t>
  </si>
  <si>
    <t>Dương Hữu</t>
  </si>
  <si>
    <t>Thiện</t>
  </si>
  <si>
    <t>30/11/2007</t>
  </si>
  <si>
    <t>0949619958</t>
  </si>
  <si>
    <t>n25dece068@student.ptithcm.edu.vn</t>
  </si>
  <si>
    <t>N25DECE069</t>
  </si>
  <si>
    <t>Cao Nguyễn Hữu</t>
  </si>
  <si>
    <t>Thuận</t>
  </si>
  <si>
    <t>14/06/2007</t>
  </si>
  <si>
    <t>0367665299</t>
  </si>
  <si>
    <t>n25dece069@student.ptithcm.edu.vn</t>
  </si>
  <si>
    <t>N24DECE097</t>
  </si>
  <si>
    <t>Nguyễn Ngọc</t>
  </si>
  <si>
    <t>Toàn</t>
  </si>
  <si>
    <t>E24CQCE02-N</t>
  </si>
  <si>
    <t>ĐHCQ - Ngành Công  nghệ thông tin - CLC - 2024 - 2</t>
  </si>
  <si>
    <t>29/06/2006</t>
  </si>
  <si>
    <t>0336994797</t>
  </si>
  <si>
    <t>n24dece097@student.ptithcm.edu.vn</t>
  </si>
  <si>
    <t>N25DECE070</t>
  </si>
  <si>
    <t>Nguyễn Quốc</t>
  </si>
  <si>
    <t>0345957459</t>
  </si>
  <si>
    <t>n25dece070@student.ptithcm.edu.vn</t>
  </si>
  <si>
    <t>N25DECE085</t>
  </si>
  <si>
    <t>Nguyễn Văn</t>
  </si>
  <si>
    <t>Trãi</t>
  </si>
  <si>
    <t>16/07/2007</t>
  </si>
  <si>
    <t>0837167207</t>
  </si>
  <si>
    <t>n25dece085@student.ptithcm.edu.vn</t>
  </si>
  <si>
    <t>N25DECE071</t>
  </si>
  <si>
    <t>Nguyễn Trương Minh</t>
  </si>
  <si>
    <t>Triết</t>
  </si>
  <si>
    <t>04/09/2007</t>
  </si>
  <si>
    <t>0903828551</t>
  </si>
  <si>
    <t>n25dece071@student.ptithcm.edu.vn</t>
  </si>
  <si>
    <t>N25DECE072</t>
  </si>
  <si>
    <t>Nguyễn Phạm Thành</t>
  </si>
  <si>
    <t>Trung</t>
  </si>
  <si>
    <t>05/01/2007</t>
  </si>
  <si>
    <t>0362555700</t>
  </si>
  <si>
    <t>n25dece072@student.ptithcm.edu.vn</t>
  </si>
  <si>
    <t>N25DECE073</t>
  </si>
  <si>
    <t>Tuấn</t>
  </si>
  <si>
    <t>05/03/2007</t>
  </si>
  <si>
    <t>0352259671</t>
  </si>
  <si>
    <t>n25dece073@student.ptithcm.edu.vn</t>
  </si>
  <si>
    <t>N25DECE074</t>
  </si>
  <si>
    <t>Trương Quang</t>
  </si>
  <si>
    <t>05/02/2007</t>
  </si>
  <si>
    <t>0387171915</t>
  </si>
  <si>
    <t>n25dece074@student.ptithcm.edu.vn</t>
  </si>
  <si>
    <t>N25DECE075</t>
  </si>
  <si>
    <t>Tôn Phương</t>
  </si>
  <si>
    <t>Uyên</t>
  </si>
  <si>
    <t>25/05/2007</t>
  </si>
  <si>
    <t>0357882923</t>
  </si>
  <si>
    <t>n25dece075@student.ptithcm.edu.vn</t>
  </si>
  <si>
    <t>N25DECE086</t>
  </si>
  <si>
    <t>Nguyễn Phương Quốc</t>
  </si>
  <si>
    <t>Vương</t>
  </si>
  <si>
    <t>03/07/2007</t>
  </si>
  <si>
    <t>0328542108</t>
  </si>
  <si>
    <t>n25dece086@student.ptithcm.edu.vn</t>
  </si>
  <si>
    <t>N25DECE076</t>
  </si>
  <si>
    <t>Nguyễn Quân</t>
  </si>
  <si>
    <t>16/04/2007</t>
  </si>
  <si>
    <t>0835422339</t>
  </si>
  <si>
    <t>n25dece076@student.ptithcm.edu.vn</t>
  </si>
  <si>
    <t>Pr</t>
  </si>
  <si>
    <t>NO</t>
  </si>
  <si>
    <t>Student ID</t>
  </si>
  <si>
    <t>Name</t>
  </si>
  <si>
    <t>Problem 1</t>
  </si>
  <si>
    <t>Problem 2</t>
  </si>
  <si>
    <t>Problem 3</t>
  </si>
  <si>
    <t>Problem 4</t>
  </si>
  <si>
    <t>Note</t>
  </si>
  <si>
    <t>Trần Quốc Anh</t>
  </si>
  <si>
    <t xml:space="preserve">Nguyễn Hữu Chí Bảo </t>
  </si>
  <si>
    <t>Nguyễn Hàm Anh Dũng</t>
  </si>
  <si>
    <t>Thái Dương Tuấn Dũng</t>
  </si>
  <si>
    <t>Nguyễn Anh Đức</t>
  </si>
  <si>
    <t>Phan Quang Đức</t>
  </si>
  <si>
    <t>Thẩm Trường Giang</t>
  </si>
  <si>
    <t>Lê Hoàng</t>
  </si>
  <si>
    <t>Lê Quốc Hưng</t>
  </si>
  <si>
    <t>Nguyễn Gia Khang</t>
  </si>
  <si>
    <t>Trần Trung Kiên</t>
  </si>
  <si>
    <t>Võ Lâm</t>
  </si>
  <si>
    <t>Ngô Trí Long</t>
  </si>
  <si>
    <t>Tô Tấn Lực</t>
  </si>
  <si>
    <t>Bùi Thanh Minh</t>
  </si>
  <si>
    <t>Châu Khánh Ngọc</t>
  </si>
  <si>
    <t>Nguyễn Thanh Nhân</t>
  </si>
  <si>
    <t>Hoàng Trí Nhật</t>
  </si>
  <si>
    <t>Nguyễn Minh Nhật</t>
  </si>
  <si>
    <t>Phạm Thị Quỳnh Như</t>
  </si>
  <si>
    <t>Vũ Lê Thành Phát</t>
  </si>
  <si>
    <t>Võ Triệu Phú</t>
  </si>
  <si>
    <t>Nguyễn Hoàng Phú Tài</t>
  </si>
  <si>
    <t>Phan Đoàn Thành Tài</t>
  </si>
  <si>
    <t>Trần Thành</t>
  </si>
  <si>
    <t>Dương Hữu Thiện</t>
  </si>
  <si>
    <t>Cao Nguyễn Hữu Thuận</t>
  </si>
  <si>
    <t>Nguyễn Ngọc Toàn</t>
  </si>
  <si>
    <t>Nguyễn Quốc Toàn</t>
  </si>
  <si>
    <t>Nguyễn Văn Trãi</t>
  </si>
  <si>
    <t>Nguyễn Trương Minh Triết</t>
  </si>
  <si>
    <t>Nguyễn Phạm Thành Trung</t>
  </si>
  <si>
    <t>Nguyễn Anh Tuấn</t>
  </si>
  <si>
    <t>Trương Quang Tuấn</t>
  </si>
  <si>
    <t>Tôn Phương Uyên</t>
  </si>
  <si>
    <t>Nguyễn Phương Quốc Vương</t>
  </si>
  <si>
    <t>Nguyễn Quân Vương</t>
  </si>
  <si>
    <t>Hand-writing Exercise</t>
  </si>
  <si>
    <t>Total</t>
  </si>
  <si>
    <t>Absent</t>
  </si>
  <si>
    <t>x</t>
  </si>
  <si>
    <t>Group member</t>
  </si>
  <si>
    <t>P1: Task 2: missing "final results" ( - 0.25); P2: Task 1: missing newNode.pre = null (-0.25), Task 2: not submit; P4: Task 2: missing "final results"</t>
  </si>
  <si>
    <t>P1: Task 1: missing "Next node" assign to null (-0.15)</t>
  </si>
  <si>
    <t>P1: Task 1: missing "Next node" assign to null (-0.15); P3: Task 2: not submit; P4: Task 2: not submit</t>
  </si>
  <si>
    <t>P1: Task 1: missing "Next node" assign to null (-0.15), Task 2: missing "Linked-structure" &amp; "final results"; P3: Task 2: missing "final result"</t>
  </si>
  <si>
    <t>P1: Task 1: error (return head) (-0.25); P2: Task 1: error (while tail.next) infinity loop (-0.5)</t>
  </si>
  <si>
    <t>Perfect</t>
  </si>
  <si>
    <t>P1: Task 1: missing "Next node" assign to null (-0.15); P4: Task 2: not submit (-1.25)</t>
  </si>
  <si>
    <t>P2: Task 2: missing "final results"</t>
  </si>
  <si>
    <t>P1: Task 1: missing "Next node" assign to null (-0.15); P3: Task 2: not submit (-0.75); P4: not submit (-2.5)</t>
  </si>
  <si>
    <t>P1: Task 2: missing "Linked structure" &amp; "final results"; P3: Task 1&amp;3: error condition so can not continue (-1.0)</t>
  </si>
  <si>
    <t>P1: Task 1: missing "Next node" assign to null (-0.15), Task 2: missing "final results" (-0.25)</t>
  </si>
  <si>
    <t>P1: Task 1: missing "final results" &amp; "Linked structure"; P3: Task 2: at step 1: newNode = curr (error) -&gt; newNode.next = curr (-0.25); P4: Task 1: missing "curr.next" assign to curr (-0.25)</t>
  </si>
  <si>
    <t>P1: Task 1: missing "Next node" assign to null (-0.15), Task 2: missing "Linked structure" (-0.25)</t>
  </si>
  <si>
    <t>P1: Task 1: the solution does not match the question (-1.25); P4: Task 1: missing return head after while condition (-0.25), Task 2: curr.next = 6 (-0.25)</t>
  </si>
  <si>
    <t>P1: Task 1: missing "Next node" assign to null (-0.15), Task 2: missing "Linked structure" (-0.25); Task 3: P2: can not identification</t>
  </si>
  <si>
    <t>P1: Task 1: missing "Next node" assign to null (-0.15), Task 2: missing "Linked structure" (-0.25); P2: Task 2: missing CreateNode* newNode = newNode(5)  (-0.25)</t>
  </si>
  <si>
    <t>P1: Task 2: not submit (-1.25); P2: Task 1: missing return head (-0.25) ; P4: not submit (-2.5)</t>
  </si>
  <si>
    <t>P1: Task 2: missing "Linked structure" &amp; "final results"; P4: Task 1: missing "current" assign to head before continue</t>
  </si>
  <si>
    <t>P2: Task 1: newNode.next = head (-0.5)</t>
  </si>
  <si>
    <t>Section 1</t>
  </si>
  <si>
    <t>Section 2</t>
  </si>
  <si>
    <t>Section 3</t>
  </si>
  <si>
    <t>Section 4</t>
  </si>
  <si>
    <t>Section 5</t>
  </si>
  <si>
    <t xml:space="preserve">Section 3: No complexity explanation comments. Missing main() test harness and cleanup function. Section 4: Missing main(), $N=10,000$ dataset generator, empirical comparison table, and written analysis.   </t>
  </si>
  <si>
    <t>Section 3: Incomplete File &amp; Missing Written Analysis; Section 4: Missing Empirical Data Table &amp; Analysis</t>
  </si>
  <si>
    <t>Section 3:  No complexity explanation comments. Missing main() test driver. Section 4: Missing main(), $N=10,000$ dataset generation, empirical output table, and written analysis in code.</t>
  </si>
  <si>
    <t>Section 3:  No complexity explanation comments</t>
  </si>
  <si>
    <t>Section 1: Minor Inaccuracy in Best Case; Section 3: Missing Written Analysis in Report; Section 4: Missing main() Driver in C++ File</t>
  </si>
  <si>
    <t xml:space="preserve">Section 4: Unfilled Table Report; Section 5: not submit   </t>
  </si>
  <si>
    <t>Section 3: Compilation &amp; Syntax Errors</t>
  </si>
  <si>
    <t>Section 1: Minor Inaccuracy in Best Case; Section 3: Brief Explanation in Console Output Only</t>
  </si>
  <si>
    <t>Section 3: Incomplete Code &amp; Missing Report Explanation; Section 4: Missing Section in Report &amp; Flawed Benchmark Logic</t>
  </si>
  <si>
    <t>Section 2: Flawed Timing Benchmark Implementation; Section 3: Missing Section in Word Report</t>
  </si>
  <si>
    <t>Section 2: Partial credit / Points deducted for omitting the actual insertion sort logic.; Section 4&amp;5: not submit</t>
  </si>
  <si>
    <t>Section 5: not submit</t>
  </si>
  <si>
    <t>Not submit</t>
  </si>
  <si>
    <t>Homework</t>
  </si>
  <si>
    <t>P3: Task 2: Missing explanation of pointer order and memory leaks.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</si>
</sst>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28"/>
      <color theme="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0" fillId="5" borderId="0" xfId="0" applyFill="1"/>
    <xf numFmtId="0" fontId="5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0" fillId="6" borderId="0" xfId="0" applyFill="1"/>
    <xf numFmtId="0" fontId="5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0" fillId="9" borderId="0" xfId="0" applyFill="1"/>
    <xf numFmtId="0" fontId="5" fillId="10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 wrapText="1"/>
    </xf>
    <xf numFmtId="0" fontId="0" fillId="10" borderId="0" xfId="0" applyFill="1"/>
    <xf numFmtId="0" fontId="0" fillId="0" borderId="0" xfId="0"/>
    <xf numFmtId="0" fontId="5" fillId="5" borderId="15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left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14" xfId="0" applyFont="1" applyFill="1" applyBorder="1" applyAlignment="1">
      <alignment horizontal="left" vertical="center"/>
    </xf>
    <xf numFmtId="0" fontId="5" fillId="9" borderId="15" xfId="0" applyFont="1" applyFill="1" applyBorder="1" applyAlignment="1">
      <alignment horizontal="left" vertical="center"/>
    </xf>
    <xf numFmtId="0" fontId="5" fillId="9" borderId="16" xfId="0" applyFont="1" applyFill="1" applyBorder="1" applyAlignment="1">
      <alignment horizontal="left" vertical="center"/>
    </xf>
    <xf numFmtId="0" fontId="5" fillId="9" borderId="14" xfId="0" applyFont="1" applyFill="1" applyBorder="1" applyAlignment="1">
      <alignment horizontal="left" vertical="center"/>
    </xf>
    <xf numFmtId="0" fontId="5" fillId="10" borderId="15" xfId="0" applyFont="1" applyFill="1" applyBorder="1" applyAlignment="1">
      <alignment horizontal="left" vertical="center"/>
    </xf>
    <xf numFmtId="0" fontId="5" fillId="10" borderId="16" xfId="0" applyFont="1" applyFill="1" applyBorder="1" applyAlignment="1">
      <alignment horizontal="left" vertical="center"/>
    </xf>
    <xf numFmtId="0" fontId="5" fillId="10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13" workbookViewId="0">
      <selection activeCell="G43" sqref="G43"/>
    </sheetView>
  </sheetViews>
  <sheetFormatPr defaultRowHeight="15" x14ac:dyDescent="0.25"/>
  <cols>
    <col min="1" max="1" width="5.7109375" customWidth="1"/>
    <col min="2" max="2" width="20.7109375" customWidth="1"/>
    <col min="3" max="3" width="25.7109375" customWidth="1"/>
    <col min="4" max="4" width="12.7109375" customWidth="1"/>
    <col min="5" max="5" width="15.7109375" customWidth="1"/>
    <col min="6" max="6" width="50.7109375" customWidth="1"/>
    <col min="7" max="8" width="15.7109375" customWidth="1"/>
    <col min="9" max="9" width="30.7109375" customWidth="1"/>
  </cols>
  <sheetData>
    <row r="1" spans="1:9" x14ac:dyDescent="0.25">
      <c r="A1" s="28" t="s">
        <v>0</v>
      </c>
      <c r="B1" s="28"/>
      <c r="C1" s="28"/>
      <c r="G1" s="28" t="s">
        <v>1</v>
      </c>
      <c r="H1" s="28"/>
    </row>
    <row r="2" spans="1:9" x14ac:dyDescent="0.25">
      <c r="A2" s="28" t="s">
        <v>2</v>
      </c>
      <c r="B2" s="28"/>
      <c r="C2" s="28"/>
      <c r="G2" s="28" t="s">
        <v>3</v>
      </c>
      <c r="H2" s="28"/>
    </row>
    <row r="4" spans="1:9" x14ac:dyDescent="0.25">
      <c r="D4" s="28" t="s">
        <v>4</v>
      </c>
      <c r="E4" s="28"/>
      <c r="F4" s="28"/>
    </row>
    <row r="5" spans="1:9" x14ac:dyDescent="0.25">
      <c r="D5" s="28" t="s">
        <v>5</v>
      </c>
      <c r="E5" s="28"/>
      <c r="F5" s="28"/>
    </row>
    <row r="7" spans="1:9" x14ac:dyDescent="0.25">
      <c r="B7" s="1" t="s">
        <v>6</v>
      </c>
      <c r="C7" s="1" t="s">
        <v>7</v>
      </c>
      <c r="E7" s="1" t="s">
        <v>8</v>
      </c>
      <c r="F7" s="1" t="s">
        <v>9</v>
      </c>
    </row>
    <row r="8" spans="1:9" x14ac:dyDescent="0.25">
      <c r="B8" s="1" t="s">
        <v>10</v>
      </c>
      <c r="C8" s="1" t="s">
        <v>11</v>
      </c>
      <c r="E8" s="1" t="s">
        <v>12</v>
      </c>
      <c r="F8" s="1" t="s">
        <v>13</v>
      </c>
    </row>
    <row r="9" spans="1:9" x14ac:dyDescent="0.25">
      <c r="B9" s="1" t="s">
        <v>14</v>
      </c>
      <c r="C9" s="1" t="s">
        <v>15</v>
      </c>
      <c r="E9" s="1" t="s">
        <v>16</v>
      </c>
      <c r="F9" s="1" t="s">
        <v>17</v>
      </c>
    </row>
    <row r="11" spans="1:9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243</v>
      </c>
      <c r="F11" s="2" t="s">
        <v>22</v>
      </c>
      <c r="G11" s="2" t="s">
        <v>23</v>
      </c>
      <c r="H11" s="2" t="s">
        <v>24</v>
      </c>
      <c r="I11" s="2" t="s">
        <v>25</v>
      </c>
    </row>
    <row r="12" spans="1:9" ht="30" x14ac:dyDescent="0.25">
      <c r="A12" s="3">
        <f>ROW()-11</f>
        <v>1</v>
      </c>
      <c r="B12" s="3" t="s">
        <v>26</v>
      </c>
      <c r="C12" s="4" t="s">
        <v>27</v>
      </c>
      <c r="D12" s="3" t="s">
        <v>28</v>
      </c>
      <c r="E12" s="3" t="s">
        <v>29</v>
      </c>
      <c r="F12" s="4" t="s">
        <v>30</v>
      </c>
      <c r="G12" s="3" t="s">
        <v>31</v>
      </c>
      <c r="H12" s="3" t="s">
        <v>32</v>
      </c>
      <c r="I12" s="3" t="s">
        <v>33</v>
      </c>
    </row>
    <row r="13" spans="1:9" ht="30" x14ac:dyDescent="0.25">
      <c r="A13" s="3">
        <f t="shared" ref="A13:A48" si="0">ROW()-11</f>
        <v>2</v>
      </c>
      <c r="B13" s="3" t="s">
        <v>34</v>
      </c>
      <c r="C13" s="4" t="s">
        <v>35</v>
      </c>
      <c r="D13" s="3" t="s">
        <v>36</v>
      </c>
      <c r="E13" s="3" t="s">
        <v>29</v>
      </c>
      <c r="F13" s="4" t="s">
        <v>30</v>
      </c>
      <c r="G13" s="3" t="s">
        <v>37</v>
      </c>
      <c r="H13" s="3" t="s">
        <v>38</v>
      </c>
      <c r="I13" s="3" t="s">
        <v>39</v>
      </c>
    </row>
    <row r="14" spans="1:9" ht="30" x14ac:dyDescent="0.25">
      <c r="A14" s="3">
        <f t="shared" si="0"/>
        <v>3</v>
      </c>
      <c r="B14" s="3" t="s">
        <v>40</v>
      </c>
      <c r="C14" s="4" t="s">
        <v>41</v>
      </c>
      <c r="D14" s="3" t="s">
        <v>42</v>
      </c>
      <c r="E14" s="3" t="s">
        <v>29</v>
      </c>
      <c r="F14" s="4" t="s">
        <v>30</v>
      </c>
      <c r="G14" s="3" t="s">
        <v>43</v>
      </c>
      <c r="H14" s="3" t="s">
        <v>44</v>
      </c>
      <c r="I14" s="3" t="s">
        <v>45</v>
      </c>
    </row>
    <row r="15" spans="1:9" ht="30" x14ac:dyDescent="0.25">
      <c r="A15" s="3">
        <f t="shared" si="0"/>
        <v>4</v>
      </c>
      <c r="B15" s="3" t="s">
        <v>46</v>
      </c>
      <c r="C15" s="4" t="s">
        <v>47</v>
      </c>
      <c r="D15" s="3" t="s">
        <v>42</v>
      </c>
      <c r="E15" s="3" t="s">
        <v>29</v>
      </c>
      <c r="F15" s="4" t="s">
        <v>30</v>
      </c>
      <c r="G15" s="3" t="s">
        <v>48</v>
      </c>
      <c r="H15" s="3" t="s">
        <v>49</v>
      </c>
      <c r="I15" s="3" t="s">
        <v>50</v>
      </c>
    </row>
    <row r="16" spans="1:9" ht="30" x14ac:dyDescent="0.25">
      <c r="A16" s="3">
        <f t="shared" si="0"/>
        <v>5</v>
      </c>
      <c r="B16" s="3" t="s">
        <v>51</v>
      </c>
      <c r="C16" s="4" t="s">
        <v>52</v>
      </c>
      <c r="D16" s="3" t="s">
        <v>53</v>
      </c>
      <c r="E16" s="3" t="s">
        <v>29</v>
      </c>
      <c r="F16" s="4" t="s">
        <v>30</v>
      </c>
      <c r="G16" s="3" t="s">
        <v>54</v>
      </c>
      <c r="H16" s="3" t="s">
        <v>55</v>
      </c>
      <c r="I16" s="3" t="s">
        <v>56</v>
      </c>
    </row>
    <row r="17" spans="1:9" ht="30" x14ac:dyDescent="0.25">
      <c r="A17" s="3">
        <f t="shared" si="0"/>
        <v>6</v>
      </c>
      <c r="B17" s="3" t="s">
        <v>57</v>
      </c>
      <c r="C17" s="4" t="s">
        <v>58</v>
      </c>
      <c r="D17" s="3" t="s">
        <v>53</v>
      </c>
      <c r="E17" s="3" t="s">
        <v>29</v>
      </c>
      <c r="F17" s="4" t="s">
        <v>30</v>
      </c>
      <c r="G17" s="3" t="s">
        <v>59</v>
      </c>
      <c r="H17" s="3" t="s">
        <v>60</v>
      </c>
      <c r="I17" s="3" t="s">
        <v>61</v>
      </c>
    </row>
    <row r="18" spans="1:9" ht="30" x14ac:dyDescent="0.25">
      <c r="A18" s="3">
        <f t="shared" si="0"/>
        <v>7</v>
      </c>
      <c r="B18" s="3" t="s">
        <v>62</v>
      </c>
      <c r="C18" s="4" t="s">
        <v>63</v>
      </c>
      <c r="D18" s="3" t="s">
        <v>64</v>
      </c>
      <c r="E18" s="3" t="s">
        <v>29</v>
      </c>
      <c r="F18" s="4" t="s">
        <v>30</v>
      </c>
      <c r="G18" s="3" t="s">
        <v>65</v>
      </c>
      <c r="H18" s="3" t="s">
        <v>66</v>
      </c>
      <c r="I18" s="3" t="s">
        <v>67</v>
      </c>
    </row>
    <row r="19" spans="1:9" ht="30" x14ac:dyDescent="0.25">
      <c r="A19" s="3">
        <f t="shared" si="0"/>
        <v>8</v>
      </c>
      <c r="B19" s="3" t="s">
        <v>68</v>
      </c>
      <c r="C19" s="4" t="s">
        <v>69</v>
      </c>
      <c r="D19" s="3" t="s">
        <v>70</v>
      </c>
      <c r="E19" s="3" t="s">
        <v>29</v>
      </c>
      <c r="F19" s="4" t="s">
        <v>30</v>
      </c>
      <c r="G19" s="3" t="s">
        <v>71</v>
      </c>
      <c r="H19" s="3" t="s">
        <v>72</v>
      </c>
      <c r="I19" s="3" t="s">
        <v>73</v>
      </c>
    </row>
    <row r="20" spans="1:9" ht="30" x14ac:dyDescent="0.25">
      <c r="A20" s="3">
        <f t="shared" si="0"/>
        <v>9</v>
      </c>
      <c r="B20" s="3" t="s">
        <v>74</v>
      </c>
      <c r="C20" s="4" t="s">
        <v>75</v>
      </c>
      <c r="D20" s="3" t="s">
        <v>76</v>
      </c>
      <c r="E20" s="3" t="s">
        <v>29</v>
      </c>
      <c r="F20" s="4" t="s">
        <v>30</v>
      </c>
      <c r="G20" s="3" t="s">
        <v>77</v>
      </c>
      <c r="H20" s="3" t="s">
        <v>78</v>
      </c>
      <c r="I20" s="3" t="s">
        <v>79</v>
      </c>
    </row>
    <row r="21" spans="1:9" ht="30" x14ac:dyDescent="0.25">
      <c r="A21" s="3">
        <f t="shared" si="0"/>
        <v>10</v>
      </c>
      <c r="B21" s="3" t="s">
        <v>80</v>
      </c>
      <c r="C21" s="4" t="s">
        <v>81</v>
      </c>
      <c r="D21" s="3" t="s">
        <v>82</v>
      </c>
      <c r="E21" s="3" t="s">
        <v>29</v>
      </c>
      <c r="F21" s="4" t="s">
        <v>30</v>
      </c>
      <c r="G21" s="3" t="s">
        <v>83</v>
      </c>
      <c r="H21" s="3" t="s">
        <v>84</v>
      </c>
      <c r="I21" s="3" t="s">
        <v>85</v>
      </c>
    </row>
    <row r="22" spans="1:9" ht="30" x14ac:dyDescent="0.25">
      <c r="A22" s="3">
        <f t="shared" si="0"/>
        <v>11</v>
      </c>
      <c r="B22" s="3" t="s">
        <v>86</v>
      </c>
      <c r="C22" s="4" t="s">
        <v>87</v>
      </c>
      <c r="D22" s="3" t="s">
        <v>88</v>
      </c>
      <c r="E22" s="3" t="s">
        <v>29</v>
      </c>
      <c r="F22" s="4" t="s">
        <v>30</v>
      </c>
      <c r="G22" s="3" t="s">
        <v>89</v>
      </c>
      <c r="H22" s="3" t="s">
        <v>90</v>
      </c>
      <c r="I22" s="3" t="s">
        <v>91</v>
      </c>
    </row>
    <row r="23" spans="1:9" ht="30" x14ac:dyDescent="0.25">
      <c r="A23" s="3">
        <f t="shared" si="0"/>
        <v>12</v>
      </c>
      <c r="B23" s="3" t="s">
        <v>92</v>
      </c>
      <c r="C23" s="4" t="s">
        <v>93</v>
      </c>
      <c r="D23" s="3" t="s">
        <v>94</v>
      </c>
      <c r="E23" s="3" t="s">
        <v>29</v>
      </c>
      <c r="F23" s="4" t="s">
        <v>30</v>
      </c>
      <c r="G23" s="3" t="s">
        <v>95</v>
      </c>
      <c r="H23" s="3" t="s">
        <v>96</v>
      </c>
      <c r="I23" s="3" t="s">
        <v>97</v>
      </c>
    </row>
    <row r="24" spans="1:9" ht="30" x14ac:dyDescent="0.25">
      <c r="A24" s="3">
        <f t="shared" si="0"/>
        <v>13</v>
      </c>
      <c r="B24" s="3" t="s">
        <v>98</v>
      </c>
      <c r="C24" s="4" t="s">
        <v>99</v>
      </c>
      <c r="D24" s="3" t="s">
        <v>100</v>
      </c>
      <c r="E24" s="3" t="s">
        <v>29</v>
      </c>
      <c r="F24" s="4" t="s">
        <v>30</v>
      </c>
      <c r="G24" s="3" t="s">
        <v>101</v>
      </c>
      <c r="H24" s="3" t="s">
        <v>102</v>
      </c>
      <c r="I24" s="3" t="s">
        <v>103</v>
      </c>
    </row>
    <row r="25" spans="1:9" ht="30" x14ac:dyDescent="0.25">
      <c r="A25" s="3">
        <f t="shared" si="0"/>
        <v>14</v>
      </c>
      <c r="B25" s="3" t="s">
        <v>104</v>
      </c>
      <c r="C25" s="4" t="s">
        <v>105</v>
      </c>
      <c r="D25" s="3" t="s">
        <v>106</v>
      </c>
      <c r="E25" s="3" t="s">
        <v>29</v>
      </c>
      <c r="F25" s="4" t="s">
        <v>30</v>
      </c>
      <c r="G25" s="3" t="s">
        <v>107</v>
      </c>
      <c r="H25" s="3" t="s">
        <v>108</v>
      </c>
      <c r="I25" s="3" t="s">
        <v>109</v>
      </c>
    </row>
    <row r="26" spans="1:9" ht="30" x14ac:dyDescent="0.25">
      <c r="A26" s="3">
        <f t="shared" si="0"/>
        <v>15</v>
      </c>
      <c r="B26" s="3" t="s">
        <v>110</v>
      </c>
      <c r="C26" s="4" t="s">
        <v>111</v>
      </c>
      <c r="D26" s="3" t="s">
        <v>112</v>
      </c>
      <c r="E26" s="3" t="s">
        <v>29</v>
      </c>
      <c r="F26" s="4" t="s">
        <v>30</v>
      </c>
      <c r="G26" s="3" t="s">
        <v>113</v>
      </c>
      <c r="H26" s="3" t="s">
        <v>114</v>
      </c>
      <c r="I26" s="3" t="s">
        <v>115</v>
      </c>
    </row>
    <row r="27" spans="1:9" ht="30" x14ac:dyDescent="0.25">
      <c r="A27" s="3">
        <f t="shared" si="0"/>
        <v>16</v>
      </c>
      <c r="B27" s="3" t="s">
        <v>116</v>
      </c>
      <c r="C27" s="4" t="s">
        <v>117</v>
      </c>
      <c r="D27" s="3" t="s">
        <v>118</v>
      </c>
      <c r="E27" s="3" t="s">
        <v>29</v>
      </c>
      <c r="F27" s="4" t="s">
        <v>30</v>
      </c>
      <c r="G27" s="3" t="s">
        <v>119</v>
      </c>
      <c r="H27" s="3" t="s">
        <v>120</v>
      </c>
      <c r="I27" s="3" t="s">
        <v>121</v>
      </c>
    </row>
    <row r="28" spans="1:9" ht="30" x14ac:dyDescent="0.25">
      <c r="A28" s="3">
        <f t="shared" si="0"/>
        <v>17</v>
      </c>
      <c r="B28" s="3" t="s">
        <v>122</v>
      </c>
      <c r="C28" s="4" t="s">
        <v>123</v>
      </c>
      <c r="D28" s="3" t="s">
        <v>124</v>
      </c>
      <c r="E28" s="3" t="s">
        <v>29</v>
      </c>
      <c r="F28" s="4" t="s">
        <v>30</v>
      </c>
      <c r="G28" s="3" t="s">
        <v>125</v>
      </c>
      <c r="H28" s="3" t="s">
        <v>126</v>
      </c>
      <c r="I28" s="3" t="s">
        <v>127</v>
      </c>
    </row>
    <row r="29" spans="1:9" ht="30" x14ac:dyDescent="0.25">
      <c r="A29" s="3">
        <f t="shared" si="0"/>
        <v>18</v>
      </c>
      <c r="B29" s="3" t="s">
        <v>128</v>
      </c>
      <c r="C29" s="4" t="s">
        <v>129</v>
      </c>
      <c r="D29" s="3" t="s">
        <v>130</v>
      </c>
      <c r="E29" s="3" t="s">
        <v>29</v>
      </c>
      <c r="F29" s="4" t="s">
        <v>30</v>
      </c>
      <c r="G29" s="3" t="s">
        <v>131</v>
      </c>
      <c r="H29" s="3" t="s">
        <v>132</v>
      </c>
      <c r="I29" s="3" t="s">
        <v>133</v>
      </c>
    </row>
    <row r="30" spans="1:9" ht="30" x14ac:dyDescent="0.25">
      <c r="A30" s="3">
        <f t="shared" si="0"/>
        <v>19</v>
      </c>
      <c r="B30" s="3" t="s">
        <v>134</v>
      </c>
      <c r="C30" s="4" t="s">
        <v>135</v>
      </c>
      <c r="D30" s="3" t="s">
        <v>130</v>
      </c>
      <c r="E30" s="3" t="s">
        <v>29</v>
      </c>
      <c r="F30" s="4" t="s">
        <v>30</v>
      </c>
      <c r="G30" s="3" t="s">
        <v>136</v>
      </c>
      <c r="H30" s="3" t="s">
        <v>137</v>
      </c>
      <c r="I30" s="3" t="s">
        <v>138</v>
      </c>
    </row>
    <row r="31" spans="1:9" ht="30" x14ac:dyDescent="0.25">
      <c r="A31" s="3">
        <f t="shared" si="0"/>
        <v>20</v>
      </c>
      <c r="B31" s="3" t="s">
        <v>139</v>
      </c>
      <c r="C31" s="4" t="s">
        <v>140</v>
      </c>
      <c r="D31" s="3" t="s">
        <v>141</v>
      </c>
      <c r="E31" s="3" t="s">
        <v>29</v>
      </c>
      <c r="F31" s="4" t="s">
        <v>30</v>
      </c>
      <c r="G31" s="3" t="s">
        <v>142</v>
      </c>
      <c r="H31" s="3" t="s">
        <v>143</v>
      </c>
      <c r="I31" s="3" t="s">
        <v>144</v>
      </c>
    </row>
    <row r="32" spans="1:9" ht="30" x14ac:dyDescent="0.25">
      <c r="A32" s="3">
        <f t="shared" si="0"/>
        <v>21</v>
      </c>
      <c r="B32" s="3" t="s">
        <v>145</v>
      </c>
      <c r="C32" s="4" t="s">
        <v>146</v>
      </c>
      <c r="D32" s="3" t="s">
        <v>147</v>
      </c>
      <c r="E32" s="3" t="s">
        <v>29</v>
      </c>
      <c r="F32" s="4" t="s">
        <v>30</v>
      </c>
      <c r="G32" s="3" t="s">
        <v>148</v>
      </c>
      <c r="H32" s="3" t="s">
        <v>149</v>
      </c>
      <c r="I32" s="3" t="s">
        <v>150</v>
      </c>
    </row>
    <row r="33" spans="1:9" ht="30" x14ac:dyDescent="0.25">
      <c r="A33" s="3">
        <f t="shared" si="0"/>
        <v>22</v>
      </c>
      <c r="B33" s="3" t="s">
        <v>151</v>
      </c>
      <c r="C33" s="4" t="s">
        <v>152</v>
      </c>
      <c r="D33" s="3" t="s">
        <v>153</v>
      </c>
      <c r="E33" s="3" t="s">
        <v>29</v>
      </c>
      <c r="F33" s="4" t="s">
        <v>30</v>
      </c>
      <c r="G33" s="3" t="s">
        <v>154</v>
      </c>
      <c r="H33" s="3" t="s">
        <v>155</v>
      </c>
      <c r="I33" s="3" t="s">
        <v>156</v>
      </c>
    </row>
    <row r="34" spans="1:9" ht="30" x14ac:dyDescent="0.25">
      <c r="A34" s="3">
        <f t="shared" si="0"/>
        <v>23</v>
      </c>
      <c r="B34" s="3" t="s">
        <v>157</v>
      </c>
      <c r="C34" s="4" t="s">
        <v>158</v>
      </c>
      <c r="D34" s="3" t="s">
        <v>159</v>
      </c>
      <c r="E34" s="3" t="s">
        <v>29</v>
      </c>
      <c r="F34" s="4" t="s">
        <v>30</v>
      </c>
      <c r="G34" s="3" t="s">
        <v>160</v>
      </c>
      <c r="H34" s="3" t="s">
        <v>161</v>
      </c>
      <c r="I34" s="3" t="s">
        <v>162</v>
      </c>
    </row>
    <row r="35" spans="1:9" ht="30" x14ac:dyDescent="0.25">
      <c r="A35" s="3">
        <f t="shared" si="0"/>
        <v>24</v>
      </c>
      <c r="B35" s="3" t="s">
        <v>163</v>
      </c>
      <c r="C35" s="4" t="s">
        <v>164</v>
      </c>
      <c r="D35" s="3" t="s">
        <v>159</v>
      </c>
      <c r="E35" s="3" t="s">
        <v>29</v>
      </c>
      <c r="F35" s="4" t="s">
        <v>30</v>
      </c>
      <c r="G35" s="3" t="s">
        <v>165</v>
      </c>
      <c r="H35" s="3" t="s">
        <v>166</v>
      </c>
      <c r="I35" s="3" t="s">
        <v>167</v>
      </c>
    </row>
    <row r="36" spans="1:9" ht="30" x14ac:dyDescent="0.25">
      <c r="A36" s="3">
        <f t="shared" si="0"/>
        <v>25</v>
      </c>
      <c r="B36" s="3" t="s">
        <v>168</v>
      </c>
      <c r="C36" s="4" t="s">
        <v>169</v>
      </c>
      <c r="D36" s="3" t="s">
        <v>170</v>
      </c>
      <c r="E36" s="3" t="s">
        <v>29</v>
      </c>
      <c r="F36" s="4" t="s">
        <v>30</v>
      </c>
      <c r="G36" s="3" t="s">
        <v>171</v>
      </c>
      <c r="H36" s="3" t="s">
        <v>172</v>
      </c>
      <c r="I36" s="3" t="s">
        <v>173</v>
      </c>
    </row>
    <row r="37" spans="1:9" ht="30" x14ac:dyDescent="0.25">
      <c r="A37" s="3">
        <f t="shared" si="0"/>
        <v>26</v>
      </c>
      <c r="B37" s="3" t="s">
        <v>174</v>
      </c>
      <c r="C37" s="4" t="s">
        <v>175</v>
      </c>
      <c r="D37" s="3" t="s">
        <v>176</v>
      </c>
      <c r="E37" s="3" t="s">
        <v>29</v>
      </c>
      <c r="F37" s="4" t="s">
        <v>30</v>
      </c>
      <c r="G37" s="3" t="s">
        <v>177</v>
      </c>
      <c r="H37" s="3" t="s">
        <v>178</v>
      </c>
      <c r="I37" s="3" t="s">
        <v>179</v>
      </c>
    </row>
    <row r="38" spans="1:9" ht="30" x14ac:dyDescent="0.25">
      <c r="A38" s="3">
        <f t="shared" si="0"/>
        <v>27</v>
      </c>
      <c r="B38" s="3" t="s">
        <v>180</v>
      </c>
      <c r="C38" s="4" t="s">
        <v>181</v>
      </c>
      <c r="D38" s="3" t="s">
        <v>182</v>
      </c>
      <c r="E38" s="3" t="s">
        <v>29</v>
      </c>
      <c r="F38" s="4" t="s">
        <v>30</v>
      </c>
      <c r="G38" s="3" t="s">
        <v>183</v>
      </c>
      <c r="H38" s="3" t="s">
        <v>184</v>
      </c>
      <c r="I38" s="3" t="s">
        <v>185</v>
      </c>
    </row>
    <row r="39" spans="1:9" ht="30" x14ac:dyDescent="0.25">
      <c r="A39" s="3">
        <f t="shared" si="0"/>
        <v>28</v>
      </c>
      <c r="B39" s="3" t="s">
        <v>186</v>
      </c>
      <c r="C39" s="4" t="s">
        <v>187</v>
      </c>
      <c r="D39" s="3" t="s">
        <v>188</v>
      </c>
      <c r="E39" s="3" t="s">
        <v>189</v>
      </c>
      <c r="F39" s="4" t="s">
        <v>190</v>
      </c>
      <c r="G39" s="3" t="s">
        <v>191</v>
      </c>
      <c r="H39" s="3" t="s">
        <v>192</v>
      </c>
      <c r="I39" s="3" t="s">
        <v>193</v>
      </c>
    </row>
    <row r="40" spans="1:9" ht="30" x14ac:dyDescent="0.25">
      <c r="A40" s="3">
        <f t="shared" si="0"/>
        <v>29</v>
      </c>
      <c r="B40" s="3" t="s">
        <v>194</v>
      </c>
      <c r="C40" s="4" t="s">
        <v>195</v>
      </c>
      <c r="D40" s="3" t="s">
        <v>188</v>
      </c>
      <c r="E40" s="3" t="s">
        <v>29</v>
      </c>
      <c r="F40" s="4" t="s">
        <v>30</v>
      </c>
      <c r="G40" s="3" t="s">
        <v>54</v>
      </c>
      <c r="H40" s="3" t="s">
        <v>196</v>
      </c>
      <c r="I40" s="3" t="s">
        <v>197</v>
      </c>
    </row>
    <row r="41" spans="1:9" ht="30" x14ac:dyDescent="0.25">
      <c r="A41" s="3">
        <f t="shared" si="0"/>
        <v>30</v>
      </c>
      <c r="B41" s="3" t="s">
        <v>198</v>
      </c>
      <c r="C41" s="4" t="s">
        <v>199</v>
      </c>
      <c r="D41" s="3" t="s">
        <v>200</v>
      </c>
      <c r="E41" s="3" t="s">
        <v>29</v>
      </c>
      <c r="F41" s="4" t="s">
        <v>30</v>
      </c>
      <c r="G41" s="3" t="s">
        <v>201</v>
      </c>
      <c r="H41" s="3" t="s">
        <v>202</v>
      </c>
      <c r="I41" s="3" t="s">
        <v>203</v>
      </c>
    </row>
    <row r="42" spans="1:9" ht="30" x14ac:dyDescent="0.25">
      <c r="A42" s="3">
        <f t="shared" si="0"/>
        <v>31</v>
      </c>
      <c r="B42" s="3" t="s">
        <v>204</v>
      </c>
      <c r="C42" s="4" t="s">
        <v>205</v>
      </c>
      <c r="D42" s="3" t="s">
        <v>206</v>
      </c>
      <c r="E42" s="3" t="s">
        <v>29</v>
      </c>
      <c r="F42" s="4" t="s">
        <v>30</v>
      </c>
      <c r="G42" s="3" t="s">
        <v>207</v>
      </c>
      <c r="H42" s="3" t="s">
        <v>208</v>
      </c>
      <c r="I42" s="3" t="s">
        <v>209</v>
      </c>
    </row>
    <row r="43" spans="1:9" ht="30" x14ac:dyDescent="0.25">
      <c r="A43" s="3">
        <f t="shared" si="0"/>
        <v>32</v>
      </c>
      <c r="B43" s="3" t="s">
        <v>210</v>
      </c>
      <c r="C43" s="4" t="s">
        <v>211</v>
      </c>
      <c r="D43" s="3" t="s">
        <v>212</v>
      </c>
      <c r="E43" s="3" t="s">
        <v>29</v>
      </c>
      <c r="F43" s="4" t="s">
        <v>30</v>
      </c>
      <c r="G43" s="3" t="s">
        <v>213</v>
      </c>
      <c r="H43" s="3" t="s">
        <v>214</v>
      </c>
      <c r="I43" s="3" t="s">
        <v>215</v>
      </c>
    </row>
    <row r="44" spans="1:9" ht="30" x14ac:dyDescent="0.25">
      <c r="A44" s="3">
        <f t="shared" si="0"/>
        <v>33</v>
      </c>
      <c r="B44" s="3" t="s">
        <v>216</v>
      </c>
      <c r="C44" s="4" t="s">
        <v>52</v>
      </c>
      <c r="D44" s="3" t="s">
        <v>217</v>
      </c>
      <c r="E44" s="3" t="s">
        <v>29</v>
      </c>
      <c r="F44" s="4" t="s">
        <v>30</v>
      </c>
      <c r="G44" s="3" t="s">
        <v>218</v>
      </c>
      <c r="H44" s="3" t="s">
        <v>219</v>
      </c>
      <c r="I44" s="3" t="s">
        <v>220</v>
      </c>
    </row>
    <row r="45" spans="1:9" ht="30" x14ac:dyDescent="0.25">
      <c r="A45" s="3">
        <f t="shared" si="0"/>
        <v>34</v>
      </c>
      <c r="B45" s="3" t="s">
        <v>221</v>
      </c>
      <c r="C45" s="4" t="s">
        <v>222</v>
      </c>
      <c r="D45" s="3" t="s">
        <v>217</v>
      </c>
      <c r="E45" s="3" t="s">
        <v>29</v>
      </c>
      <c r="F45" s="4" t="s">
        <v>30</v>
      </c>
      <c r="G45" s="3" t="s">
        <v>223</v>
      </c>
      <c r="H45" s="3" t="s">
        <v>224</v>
      </c>
      <c r="I45" s="3" t="s">
        <v>225</v>
      </c>
    </row>
    <row r="46" spans="1:9" ht="30" x14ac:dyDescent="0.25">
      <c r="A46" s="3">
        <f t="shared" si="0"/>
        <v>35</v>
      </c>
      <c r="B46" s="3" t="s">
        <v>226</v>
      </c>
      <c r="C46" s="4" t="s">
        <v>227</v>
      </c>
      <c r="D46" s="3" t="s">
        <v>228</v>
      </c>
      <c r="E46" s="3" t="s">
        <v>29</v>
      </c>
      <c r="F46" s="4" t="s">
        <v>30</v>
      </c>
      <c r="G46" s="3" t="s">
        <v>229</v>
      </c>
      <c r="H46" s="3" t="s">
        <v>230</v>
      </c>
      <c r="I46" s="3" t="s">
        <v>231</v>
      </c>
    </row>
    <row r="47" spans="1:9" ht="30" x14ac:dyDescent="0.25">
      <c r="A47" s="3">
        <f t="shared" si="0"/>
        <v>36</v>
      </c>
      <c r="B47" s="3" t="s">
        <v>232</v>
      </c>
      <c r="C47" s="4" t="s">
        <v>233</v>
      </c>
      <c r="D47" s="3" t="s">
        <v>234</v>
      </c>
      <c r="E47" s="3" t="s">
        <v>29</v>
      </c>
      <c r="F47" s="4" t="s">
        <v>30</v>
      </c>
      <c r="G47" s="3" t="s">
        <v>235</v>
      </c>
      <c r="H47" s="3" t="s">
        <v>236</v>
      </c>
      <c r="I47" s="3" t="s">
        <v>237</v>
      </c>
    </row>
    <row r="48" spans="1:9" ht="30" x14ac:dyDescent="0.25">
      <c r="A48" s="3">
        <f t="shared" si="0"/>
        <v>37</v>
      </c>
      <c r="B48" s="3" t="s">
        <v>238</v>
      </c>
      <c r="C48" s="4" t="s">
        <v>239</v>
      </c>
      <c r="D48" s="3" t="s">
        <v>234</v>
      </c>
      <c r="E48" s="3" t="s">
        <v>29</v>
      </c>
      <c r="F48" s="4" t="s">
        <v>30</v>
      </c>
      <c r="G48" s="3" t="s">
        <v>240</v>
      </c>
      <c r="H48" s="3" t="s">
        <v>241</v>
      </c>
      <c r="I48" s="3" t="s">
        <v>242</v>
      </c>
    </row>
  </sheetData>
  <mergeCells count="6">
    <mergeCell ref="D5:F5"/>
    <mergeCell ref="A1:C1"/>
    <mergeCell ref="A2:C2"/>
    <mergeCell ref="G1:H1"/>
    <mergeCell ref="G2:H2"/>
    <mergeCell ref="D4:F4"/>
  </mergeCells>
  <pageMargins left="0.7" right="0.7" top="0.75" bottom="0.75" header="0.3" footer="0.3"/>
  <ignoredErrors>
    <ignoredError sqref="A1:I10 B13:I48 A11:D11 F11:I11 B12:I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21D2-106A-4417-8660-7E8FD2EA5170}">
  <dimension ref="A1:T41"/>
  <sheetViews>
    <sheetView zoomScale="71" zoomScaleNormal="85" workbookViewId="0">
      <selection activeCell="C8" sqref="C8"/>
    </sheetView>
  </sheetViews>
  <sheetFormatPr defaultRowHeight="15" x14ac:dyDescent="0.25"/>
  <cols>
    <col min="2" max="2" width="16.140625" customWidth="1"/>
    <col min="3" max="3" width="28.5703125" customWidth="1"/>
    <col min="4" max="4" width="11.28515625" customWidth="1"/>
    <col min="5" max="5" width="11.85546875" customWidth="1"/>
    <col min="6" max="6" width="12.7109375" customWidth="1"/>
    <col min="7" max="7" width="11.7109375" customWidth="1"/>
    <col min="8" max="8" width="15.7109375" customWidth="1"/>
    <col min="9" max="9" width="22.28515625" customWidth="1"/>
    <col min="20" max="20" width="29.140625" customWidth="1"/>
  </cols>
  <sheetData>
    <row r="1" spans="1:20" x14ac:dyDescent="0.25">
      <c r="A1" s="41" t="s">
        <v>289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3"/>
    </row>
    <row r="2" spans="1:20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x14ac:dyDescent="0.2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9"/>
    </row>
    <row r="4" spans="1:20" ht="15.75" x14ac:dyDescent="0.25">
      <c r="A4" s="9" t="s">
        <v>244</v>
      </c>
      <c r="B4" s="9" t="s">
        <v>245</v>
      </c>
      <c r="C4" s="9" t="s">
        <v>246</v>
      </c>
      <c r="D4" s="9" t="s">
        <v>247</v>
      </c>
      <c r="E4" s="9" t="s">
        <v>248</v>
      </c>
      <c r="F4" s="9" t="s">
        <v>249</v>
      </c>
      <c r="G4" s="9" t="s">
        <v>250</v>
      </c>
      <c r="H4" s="9" t="s">
        <v>290</v>
      </c>
      <c r="I4" s="32" t="s">
        <v>251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4"/>
    </row>
    <row r="5" spans="1:20" ht="15.75" x14ac:dyDescent="0.25">
      <c r="A5" s="7">
        <f>ROW()-4</f>
        <v>1</v>
      </c>
      <c r="B5" s="6" t="s">
        <v>26</v>
      </c>
      <c r="C5" s="8" t="s">
        <v>252</v>
      </c>
      <c r="D5" s="5">
        <v>2.25</v>
      </c>
      <c r="E5" s="5">
        <v>2.5</v>
      </c>
      <c r="F5" s="5">
        <v>1</v>
      </c>
      <c r="G5" s="5">
        <v>2</v>
      </c>
      <c r="H5" s="7">
        <f>SUM(D5:G5)</f>
        <v>7.75</v>
      </c>
      <c r="I5" s="35" t="s">
        <v>294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7"/>
    </row>
    <row r="6" spans="1:20" ht="15.75" x14ac:dyDescent="0.25">
      <c r="A6" s="7">
        <f t="shared" ref="A6:A41" si="0">ROW()-4</f>
        <v>2</v>
      </c>
      <c r="B6" s="6" t="s">
        <v>34</v>
      </c>
      <c r="C6" s="8" t="s">
        <v>253</v>
      </c>
      <c r="D6" s="5">
        <v>2.1</v>
      </c>
      <c r="E6" s="5">
        <v>2.5</v>
      </c>
      <c r="F6" s="5">
        <v>2.5</v>
      </c>
      <c r="G6" s="5">
        <v>2.5</v>
      </c>
      <c r="H6" s="7">
        <f t="shared" ref="H6:H41" si="1">SUM(D6:G6)</f>
        <v>9.6</v>
      </c>
      <c r="I6" s="35" t="s">
        <v>295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</row>
    <row r="7" spans="1:20" ht="15.75" x14ac:dyDescent="0.25">
      <c r="A7" s="7">
        <f t="shared" si="0"/>
        <v>3</v>
      </c>
      <c r="B7" s="6" t="s">
        <v>40</v>
      </c>
      <c r="C7" s="8" t="s">
        <v>254</v>
      </c>
      <c r="D7" s="5">
        <v>2.35</v>
      </c>
      <c r="E7" s="5">
        <v>2.5</v>
      </c>
      <c r="F7" s="5">
        <v>2.5</v>
      </c>
      <c r="G7" s="5">
        <v>2.5</v>
      </c>
      <c r="H7" s="7">
        <f t="shared" si="1"/>
        <v>9.85</v>
      </c>
      <c r="I7" s="35" t="s">
        <v>295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</row>
    <row r="8" spans="1:20" ht="15.75" x14ac:dyDescent="0.25">
      <c r="A8" s="7">
        <f t="shared" si="0"/>
        <v>4</v>
      </c>
      <c r="B8" s="6" t="s">
        <v>46</v>
      </c>
      <c r="C8" s="8" t="s">
        <v>255</v>
      </c>
      <c r="D8" s="5">
        <v>2.5</v>
      </c>
      <c r="E8" s="5">
        <v>2.5</v>
      </c>
      <c r="F8" s="5">
        <v>1.75</v>
      </c>
      <c r="G8" s="5">
        <v>2.5</v>
      </c>
      <c r="H8" s="7">
        <f t="shared" si="1"/>
        <v>9.25</v>
      </c>
      <c r="I8" s="35" t="s">
        <v>332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</row>
    <row r="9" spans="1:20" ht="15.75" x14ac:dyDescent="0.25">
      <c r="A9" s="7">
        <f t="shared" si="0"/>
        <v>5</v>
      </c>
      <c r="B9" s="6" t="s">
        <v>51</v>
      </c>
      <c r="C9" s="8" t="s">
        <v>256</v>
      </c>
      <c r="D9" s="5">
        <v>2.35</v>
      </c>
      <c r="E9" s="5">
        <v>2.5</v>
      </c>
      <c r="F9" s="5">
        <v>2.5</v>
      </c>
      <c r="G9" s="5">
        <v>1.25</v>
      </c>
      <c r="H9" s="7">
        <f t="shared" si="1"/>
        <v>8.6</v>
      </c>
      <c r="I9" s="35" t="s">
        <v>300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7"/>
    </row>
    <row r="10" spans="1:20" s="13" customFormat="1" ht="15.75" x14ac:dyDescent="0.25">
      <c r="A10" s="10">
        <f t="shared" si="0"/>
        <v>6</v>
      </c>
      <c r="B10" s="11" t="s">
        <v>57</v>
      </c>
      <c r="C10" s="12" t="s">
        <v>257</v>
      </c>
      <c r="D10" s="10">
        <v>0</v>
      </c>
      <c r="E10" s="10">
        <v>0</v>
      </c>
      <c r="F10" s="10">
        <v>0</v>
      </c>
      <c r="G10" s="10">
        <v>0</v>
      </c>
      <c r="H10" s="10">
        <f t="shared" si="1"/>
        <v>0</v>
      </c>
      <c r="I10" s="29" t="s">
        <v>291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1"/>
    </row>
    <row r="11" spans="1:20" ht="15.75" x14ac:dyDescent="0.25">
      <c r="A11" s="7">
        <f t="shared" si="0"/>
        <v>7</v>
      </c>
      <c r="B11" s="6" t="s">
        <v>62</v>
      </c>
      <c r="C11" s="8" t="s">
        <v>258</v>
      </c>
      <c r="D11" s="5">
        <v>2</v>
      </c>
      <c r="E11" s="5">
        <v>2.5</v>
      </c>
      <c r="F11" s="5">
        <v>1.5</v>
      </c>
      <c r="G11" s="5">
        <v>2.5</v>
      </c>
      <c r="H11" s="7">
        <f t="shared" si="1"/>
        <v>8.5</v>
      </c>
      <c r="I11" s="35" t="s">
        <v>303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7"/>
    </row>
    <row r="12" spans="1:20" ht="15.75" x14ac:dyDescent="0.25">
      <c r="A12" s="7">
        <f t="shared" si="0"/>
        <v>8</v>
      </c>
      <c r="B12" s="6" t="s">
        <v>68</v>
      </c>
      <c r="C12" s="8" t="s">
        <v>259</v>
      </c>
      <c r="D12" s="5">
        <v>1.25</v>
      </c>
      <c r="E12" s="5">
        <v>2.5</v>
      </c>
      <c r="F12" s="5">
        <v>2.5</v>
      </c>
      <c r="G12" s="5">
        <v>2</v>
      </c>
      <c r="H12" s="7">
        <f t="shared" si="1"/>
        <v>8.25</v>
      </c>
      <c r="I12" s="35" t="s">
        <v>307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</row>
    <row r="13" spans="1:20" ht="15.75" x14ac:dyDescent="0.25">
      <c r="A13" s="7">
        <f t="shared" si="0"/>
        <v>9</v>
      </c>
      <c r="B13" s="6" t="s">
        <v>74</v>
      </c>
      <c r="C13" s="8" t="s">
        <v>260</v>
      </c>
      <c r="D13" s="5">
        <v>2.1</v>
      </c>
      <c r="E13" s="5">
        <v>2.5</v>
      </c>
      <c r="F13" s="5">
        <v>2.5</v>
      </c>
      <c r="G13" s="5">
        <v>2.5</v>
      </c>
      <c r="H13" s="7">
        <f t="shared" si="1"/>
        <v>9.6</v>
      </c>
      <c r="I13" s="35" t="s">
        <v>304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</row>
    <row r="14" spans="1:20" s="13" customFormat="1" ht="15.75" x14ac:dyDescent="0.25">
      <c r="A14" s="10">
        <f t="shared" si="0"/>
        <v>10</v>
      </c>
      <c r="B14" s="11" t="s">
        <v>80</v>
      </c>
      <c r="C14" s="12" t="s">
        <v>261</v>
      </c>
      <c r="D14" s="10">
        <v>0</v>
      </c>
      <c r="E14" s="10">
        <v>0</v>
      </c>
      <c r="F14" s="10">
        <v>0</v>
      </c>
      <c r="G14" s="10">
        <v>0</v>
      </c>
      <c r="H14" s="10">
        <f t="shared" si="1"/>
        <v>0</v>
      </c>
      <c r="I14" s="29" t="s">
        <v>291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1"/>
    </row>
    <row r="15" spans="1:20" s="17" customFormat="1" ht="15.75" x14ac:dyDescent="0.25">
      <c r="A15" s="14">
        <f t="shared" si="0"/>
        <v>11</v>
      </c>
      <c r="B15" s="15" t="s">
        <v>86</v>
      </c>
      <c r="C15" s="16" t="s">
        <v>262</v>
      </c>
      <c r="D15" s="14" t="s">
        <v>292</v>
      </c>
      <c r="E15" s="14" t="s">
        <v>292</v>
      </c>
      <c r="F15" s="14" t="s">
        <v>292</v>
      </c>
      <c r="G15" s="14" t="s">
        <v>292</v>
      </c>
      <c r="H15" s="14" t="s">
        <v>292</v>
      </c>
      <c r="I15" s="38" t="s">
        <v>293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40"/>
    </row>
    <row r="16" spans="1:20" ht="15.75" x14ac:dyDescent="0.25">
      <c r="A16" s="7">
        <f t="shared" si="0"/>
        <v>12</v>
      </c>
      <c r="B16" s="6" t="s">
        <v>92</v>
      </c>
      <c r="C16" s="8" t="s">
        <v>263</v>
      </c>
      <c r="D16" s="5">
        <v>2</v>
      </c>
      <c r="E16" s="5">
        <v>2.5</v>
      </c>
      <c r="F16" s="5">
        <v>2.25</v>
      </c>
      <c r="G16" s="5">
        <v>2.25</v>
      </c>
      <c r="H16" s="7">
        <f t="shared" si="1"/>
        <v>9</v>
      </c>
      <c r="I16" s="35" t="s">
        <v>305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</row>
    <row r="17" spans="1:20" ht="15.75" x14ac:dyDescent="0.25">
      <c r="A17" s="7">
        <f t="shared" si="0"/>
        <v>13</v>
      </c>
      <c r="B17" s="6" t="s">
        <v>98</v>
      </c>
      <c r="C17" s="8" t="s">
        <v>264</v>
      </c>
      <c r="D17" s="5">
        <v>2.5</v>
      </c>
      <c r="E17" s="5">
        <v>2.5</v>
      </c>
      <c r="F17" s="5">
        <v>2.5</v>
      </c>
      <c r="G17" s="5">
        <v>2.5</v>
      </c>
      <c r="H17" s="7">
        <f t="shared" si="1"/>
        <v>10</v>
      </c>
      <c r="I17" s="35" t="s">
        <v>299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</row>
    <row r="18" spans="1:20" ht="15.75" x14ac:dyDescent="0.25">
      <c r="A18" s="7">
        <f t="shared" si="0"/>
        <v>14</v>
      </c>
      <c r="B18" s="6" t="s">
        <v>104</v>
      </c>
      <c r="C18" s="8" t="s">
        <v>265</v>
      </c>
      <c r="D18" s="5">
        <v>2.35</v>
      </c>
      <c r="E18" s="5">
        <v>2.5</v>
      </c>
      <c r="F18" s="5">
        <v>1.75</v>
      </c>
      <c r="G18" s="5">
        <v>0</v>
      </c>
      <c r="H18" s="7">
        <f t="shared" si="1"/>
        <v>6.6</v>
      </c>
      <c r="I18" s="35" t="s">
        <v>302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</row>
    <row r="19" spans="1:20" s="17" customFormat="1" ht="15.75" x14ac:dyDescent="0.25">
      <c r="A19" s="14">
        <f t="shared" si="0"/>
        <v>15</v>
      </c>
      <c r="B19" s="15" t="s">
        <v>110</v>
      </c>
      <c r="C19" s="16" t="s">
        <v>266</v>
      </c>
      <c r="D19" s="14" t="s">
        <v>292</v>
      </c>
      <c r="E19" s="14" t="s">
        <v>292</v>
      </c>
      <c r="F19" s="14" t="s">
        <v>292</v>
      </c>
      <c r="G19" s="14" t="s">
        <v>292</v>
      </c>
      <c r="H19" s="14" t="s">
        <v>292</v>
      </c>
      <c r="I19" s="38" t="s">
        <v>293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40"/>
    </row>
    <row r="20" spans="1:20" s="17" customFormat="1" ht="15.75" x14ac:dyDescent="0.25">
      <c r="A20" s="14">
        <f t="shared" si="0"/>
        <v>16</v>
      </c>
      <c r="B20" s="15" t="s">
        <v>116</v>
      </c>
      <c r="C20" s="16" t="s">
        <v>267</v>
      </c>
      <c r="D20" s="14" t="s">
        <v>292</v>
      </c>
      <c r="E20" s="14" t="s">
        <v>292</v>
      </c>
      <c r="F20" s="14" t="s">
        <v>292</v>
      </c>
      <c r="G20" s="14" t="s">
        <v>292</v>
      </c>
      <c r="H20" s="14" t="s">
        <v>292</v>
      </c>
      <c r="I20" s="38" t="s">
        <v>293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40"/>
    </row>
    <row r="21" spans="1:20" s="17" customFormat="1" ht="15.75" x14ac:dyDescent="0.25">
      <c r="A21" s="14">
        <f t="shared" si="0"/>
        <v>17</v>
      </c>
      <c r="B21" s="15" t="s">
        <v>122</v>
      </c>
      <c r="C21" s="16" t="s">
        <v>268</v>
      </c>
      <c r="D21" s="14" t="s">
        <v>292</v>
      </c>
      <c r="E21" s="14" t="s">
        <v>292</v>
      </c>
      <c r="F21" s="14" t="s">
        <v>292</v>
      </c>
      <c r="G21" s="14" t="s">
        <v>292</v>
      </c>
      <c r="H21" s="14" t="s">
        <v>292</v>
      </c>
      <c r="I21" s="38" t="s">
        <v>293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40"/>
    </row>
    <row r="22" spans="1:20" ht="15.75" x14ac:dyDescent="0.25">
      <c r="A22" s="7">
        <f t="shared" si="0"/>
        <v>18</v>
      </c>
      <c r="B22" s="6" t="s">
        <v>128</v>
      </c>
      <c r="C22" s="8" t="s">
        <v>269</v>
      </c>
      <c r="D22" s="5">
        <v>2.1</v>
      </c>
      <c r="E22" s="5">
        <v>2.25</v>
      </c>
      <c r="F22" s="5">
        <v>2.5</v>
      </c>
      <c r="G22" s="5">
        <v>2.5</v>
      </c>
      <c r="H22" s="7">
        <f t="shared" si="1"/>
        <v>9.35</v>
      </c>
      <c r="I22" s="35" t="s">
        <v>309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</row>
    <row r="23" spans="1:20" s="17" customFormat="1" ht="15.75" x14ac:dyDescent="0.25">
      <c r="A23" s="14">
        <f t="shared" si="0"/>
        <v>19</v>
      </c>
      <c r="B23" s="15" t="s">
        <v>134</v>
      </c>
      <c r="C23" s="16" t="s">
        <v>270</v>
      </c>
      <c r="D23" s="14" t="s">
        <v>292</v>
      </c>
      <c r="E23" s="14" t="s">
        <v>292</v>
      </c>
      <c r="F23" s="14" t="s">
        <v>292</v>
      </c>
      <c r="G23" s="14" t="s">
        <v>292</v>
      </c>
      <c r="H23" s="14" t="s">
        <v>292</v>
      </c>
      <c r="I23" s="38" t="s">
        <v>293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40"/>
    </row>
    <row r="24" spans="1:20" ht="15.75" x14ac:dyDescent="0.25">
      <c r="A24" s="7">
        <f t="shared" si="0"/>
        <v>20</v>
      </c>
      <c r="B24" s="6" t="s">
        <v>139</v>
      </c>
      <c r="C24" s="8" t="s">
        <v>271</v>
      </c>
      <c r="D24" s="5">
        <v>2.5</v>
      </c>
      <c r="E24" s="5">
        <v>2</v>
      </c>
      <c r="F24" s="5">
        <v>0</v>
      </c>
      <c r="G24" s="5">
        <v>0</v>
      </c>
      <c r="H24" s="7">
        <f t="shared" si="1"/>
        <v>4.5</v>
      </c>
      <c r="I24" s="35" t="s">
        <v>312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/>
    </row>
    <row r="25" spans="1:20" ht="15.75" x14ac:dyDescent="0.25">
      <c r="A25" s="7">
        <f t="shared" si="0"/>
        <v>21</v>
      </c>
      <c r="B25" s="6" t="s">
        <v>145</v>
      </c>
      <c r="C25" s="8" t="s">
        <v>272</v>
      </c>
      <c r="D25" s="5">
        <v>2.35</v>
      </c>
      <c r="E25" s="5">
        <v>2.5</v>
      </c>
      <c r="F25" s="5">
        <v>2.5</v>
      </c>
      <c r="G25" s="5">
        <v>2.5</v>
      </c>
      <c r="H25" s="7">
        <f t="shared" si="1"/>
        <v>9.85</v>
      </c>
      <c r="I25" s="35" t="s">
        <v>295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7"/>
    </row>
    <row r="26" spans="1:20" s="13" customFormat="1" ht="15.75" x14ac:dyDescent="0.25">
      <c r="A26" s="10">
        <f t="shared" si="0"/>
        <v>22</v>
      </c>
      <c r="B26" s="11" t="s">
        <v>151</v>
      </c>
      <c r="C26" s="12" t="s">
        <v>273</v>
      </c>
      <c r="D26" s="10">
        <v>0</v>
      </c>
      <c r="E26" s="10">
        <v>0</v>
      </c>
      <c r="F26" s="10">
        <v>0</v>
      </c>
      <c r="G26" s="10">
        <v>0</v>
      </c>
      <c r="H26" s="10">
        <f t="shared" si="1"/>
        <v>0</v>
      </c>
      <c r="I26" s="29" t="s">
        <v>291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</row>
    <row r="27" spans="1:20" ht="15.75" x14ac:dyDescent="0.25">
      <c r="A27" s="7">
        <f t="shared" si="0"/>
        <v>23</v>
      </c>
      <c r="B27" s="6" t="s">
        <v>157</v>
      </c>
      <c r="C27" s="8" t="s">
        <v>274</v>
      </c>
      <c r="D27" s="5">
        <v>2.25</v>
      </c>
      <c r="E27" s="5">
        <v>2</v>
      </c>
      <c r="F27" s="5">
        <v>2.5</v>
      </c>
      <c r="G27" s="5">
        <v>2.5</v>
      </c>
      <c r="H27" s="7">
        <f t="shared" si="1"/>
        <v>9.25</v>
      </c>
      <c r="I27" s="35" t="s">
        <v>298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</row>
    <row r="28" spans="1:20" ht="15.75" x14ac:dyDescent="0.25">
      <c r="A28" s="7">
        <f>ROW()-4</f>
        <v>24</v>
      </c>
      <c r="B28" s="6" t="s">
        <v>163</v>
      </c>
      <c r="C28" s="8" t="s">
        <v>275</v>
      </c>
      <c r="D28" s="5">
        <v>2.5</v>
      </c>
      <c r="E28" s="5">
        <v>2.5</v>
      </c>
      <c r="F28" s="5">
        <v>2.5</v>
      </c>
      <c r="G28" s="5">
        <v>2.5</v>
      </c>
      <c r="H28" s="7">
        <f t="shared" si="1"/>
        <v>10</v>
      </c>
      <c r="I28" s="35" t="s">
        <v>299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7"/>
    </row>
    <row r="29" spans="1:20" s="17" customFormat="1" ht="15.75" x14ac:dyDescent="0.25">
      <c r="A29" s="14">
        <f t="shared" si="0"/>
        <v>25</v>
      </c>
      <c r="B29" s="15" t="s">
        <v>168</v>
      </c>
      <c r="C29" s="16" t="s">
        <v>276</v>
      </c>
      <c r="D29" s="14" t="s">
        <v>292</v>
      </c>
      <c r="E29" s="14" t="s">
        <v>292</v>
      </c>
      <c r="F29" s="14" t="s">
        <v>292</v>
      </c>
      <c r="G29" s="14" t="s">
        <v>292</v>
      </c>
      <c r="H29" s="14" t="s">
        <v>292</v>
      </c>
      <c r="I29" s="38" t="s">
        <v>293</v>
      </c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40"/>
    </row>
    <row r="30" spans="1:20" ht="15.75" x14ac:dyDescent="0.25">
      <c r="A30" s="7">
        <f t="shared" si="0"/>
        <v>26</v>
      </c>
      <c r="B30" s="6" t="s">
        <v>174</v>
      </c>
      <c r="C30" s="8" t="s">
        <v>277</v>
      </c>
      <c r="D30" s="5">
        <v>2</v>
      </c>
      <c r="E30" s="5">
        <v>2.5</v>
      </c>
      <c r="F30" s="5">
        <v>2.5</v>
      </c>
      <c r="G30" s="5">
        <v>2.25</v>
      </c>
      <c r="H30" s="7">
        <f t="shared" si="1"/>
        <v>9.25</v>
      </c>
      <c r="I30" s="35" t="s">
        <v>297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7"/>
    </row>
    <row r="31" spans="1:20" ht="15.75" x14ac:dyDescent="0.25">
      <c r="A31" s="7">
        <f t="shared" si="0"/>
        <v>27</v>
      </c>
      <c r="B31" s="6" t="s">
        <v>180</v>
      </c>
      <c r="C31" s="8" t="s">
        <v>278</v>
      </c>
      <c r="D31" s="5">
        <v>2.35</v>
      </c>
      <c r="E31" s="5">
        <v>2.5</v>
      </c>
      <c r="F31" s="5">
        <v>1.75</v>
      </c>
      <c r="G31" s="5">
        <v>1.25</v>
      </c>
      <c r="H31" s="7">
        <f t="shared" si="1"/>
        <v>7.85</v>
      </c>
      <c r="I31" s="35" t="s">
        <v>296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</row>
    <row r="32" spans="1:20" s="13" customFormat="1" ht="15.75" x14ac:dyDescent="0.25">
      <c r="A32" s="10">
        <f>ROW()-4</f>
        <v>28</v>
      </c>
      <c r="B32" s="11" t="s">
        <v>186</v>
      </c>
      <c r="C32" s="12" t="s">
        <v>279</v>
      </c>
      <c r="D32" s="10">
        <v>0</v>
      </c>
      <c r="E32" s="10">
        <v>0</v>
      </c>
      <c r="F32" s="10">
        <v>0</v>
      </c>
      <c r="G32" s="10">
        <v>0</v>
      </c>
      <c r="H32" s="10">
        <f t="shared" si="1"/>
        <v>0</v>
      </c>
      <c r="I32" s="29" t="s">
        <v>291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/>
    </row>
    <row r="33" spans="1:20" ht="15.75" x14ac:dyDescent="0.25">
      <c r="A33" s="7">
        <f t="shared" si="0"/>
        <v>29</v>
      </c>
      <c r="B33" s="6" t="s">
        <v>194</v>
      </c>
      <c r="C33" s="8" t="s">
        <v>280</v>
      </c>
      <c r="D33" s="5">
        <v>2.1</v>
      </c>
      <c r="E33" s="5">
        <v>2.5</v>
      </c>
      <c r="F33" s="5">
        <v>1.75</v>
      </c>
      <c r="G33" s="5">
        <v>2.5</v>
      </c>
      <c r="H33" s="7">
        <f t="shared" si="1"/>
        <v>8.85</v>
      </c>
      <c r="I33" s="35" t="s">
        <v>308</v>
      </c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7"/>
    </row>
    <row r="34" spans="1:20" ht="15.75" x14ac:dyDescent="0.25">
      <c r="A34" s="7">
        <f t="shared" si="0"/>
        <v>30</v>
      </c>
      <c r="B34" s="6" t="s">
        <v>198</v>
      </c>
      <c r="C34" s="8" t="s">
        <v>281</v>
      </c>
      <c r="D34" s="5">
        <v>2.35</v>
      </c>
      <c r="E34" s="5">
        <v>2.5</v>
      </c>
      <c r="F34" s="5">
        <v>2.5</v>
      </c>
      <c r="G34" s="5">
        <v>2.5</v>
      </c>
      <c r="H34" s="7">
        <f t="shared" si="1"/>
        <v>9.85</v>
      </c>
      <c r="I34" s="35" t="s">
        <v>295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7"/>
    </row>
    <row r="35" spans="1:20" s="13" customFormat="1" ht="31.5" x14ac:dyDescent="0.25">
      <c r="A35" s="10">
        <f t="shared" si="0"/>
        <v>31</v>
      </c>
      <c r="B35" s="11" t="s">
        <v>204</v>
      </c>
      <c r="C35" s="12" t="s">
        <v>282</v>
      </c>
      <c r="D35" s="10">
        <v>0</v>
      </c>
      <c r="E35" s="10">
        <v>0</v>
      </c>
      <c r="F35" s="10">
        <v>0</v>
      </c>
      <c r="G35" s="10">
        <v>0</v>
      </c>
      <c r="H35" s="10">
        <f t="shared" si="1"/>
        <v>0</v>
      </c>
      <c r="I35" s="29" t="s">
        <v>291</v>
      </c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1"/>
    </row>
    <row r="36" spans="1:20" ht="31.5" x14ac:dyDescent="0.25">
      <c r="A36" s="7">
        <f>ROW()-4</f>
        <v>32</v>
      </c>
      <c r="B36" s="6" t="s">
        <v>210</v>
      </c>
      <c r="C36" s="8" t="s">
        <v>283</v>
      </c>
      <c r="D36" s="5">
        <v>2.5</v>
      </c>
      <c r="E36" s="5">
        <v>2.5</v>
      </c>
      <c r="F36" s="5">
        <v>2.5</v>
      </c>
      <c r="G36" s="5">
        <v>2.5</v>
      </c>
      <c r="H36" s="7">
        <f t="shared" si="1"/>
        <v>10</v>
      </c>
      <c r="I36" s="35" t="s">
        <v>299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/>
    </row>
    <row r="37" spans="1:20" ht="15.75" x14ac:dyDescent="0.25">
      <c r="A37" s="7">
        <f t="shared" si="0"/>
        <v>33</v>
      </c>
      <c r="B37" s="6" t="s">
        <v>216</v>
      </c>
      <c r="C37" s="8" t="s">
        <v>284</v>
      </c>
      <c r="D37" s="5">
        <v>2</v>
      </c>
      <c r="E37" s="5">
        <v>2.5</v>
      </c>
      <c r="F37" s="5">
        <v>2.5</v>
      </c>
      <c r="G37" s="5">
        <v>2</v>
      </c>
      <c r="H37" s="7">
        <f t="shared" si="1"/>
        <v>9</v>
      </c>
      <c r="I37" s="35" t="s">
        <v>311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7"/>
    </row>
    <row r="38" spans="1:20" ht="15.75" x14ac:dyDescent="0.25">
      <c r="A38" s="7">
        <f t="shared" si="0"/>
        <v>34</v>
      </c>
      <c r="B38" s="6" t="s">
        <v>221</v>
      </c>
      <c r="C38" s="8" t="s">
        <v>285</v>
      </c>
      <c r="D38" s="5">
        <v>2.35</v>
      </c>
      <c r="E38" s="5">
        <v>2.5</v>
      </c>
      <c r="F38" s="5">
        <v>2.5</v>
      </c>
      <c r="G38" s="5">
        <v>2.5</v>
      </c>
      <c r="H38" s="7">
        <f t="shared" si="1"/>
        <v>9.85</v>
      </c>
      <c r="I38" s="35" t="s">
        <v>295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/>
    </row>
    <row r="39" spans="1:20" ht="15.75" x14ac:dyDescent="0.25">
      <c r="A39" s="7">
        <f>ROW()-4</f>
        <v>35</v>
      </c>
      <c r="B39" s="6" t="s">
        <v>226</v>
      </c>
      <c r="C39" s="8" t="s">
        <v>286</v>
      </c>
      <c r="D39" s="5">
        <v>2.1</v>
      </c>
      <c r="E39" s="5">
        <v>2.5</v>
      </c>
      <c r="F39" s="5">
        <v>2.5</v>
      </c>
      <c r="G39" s="5">
        <v>2.5</v>
      </c>
      <c r="H39" s="7">
        <f t="shared" si="1"/>
        <v>9.6</v>
      </c>
      <c r="I39" s="35" t="s">
        <v>306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</row>
    <row r="40" spans="1:20" ht="31.5" x14ac:dyDescent="0.25">
      <c r="A40" s="7">
        <f t="shared" si="0"/>
        <v>36</v>
      </c>
      <c r="B40" s="6" t="s">
        <v>232</v>
      </c>
      <c r="C40" s="8" t="s">
        <v>287</v>
      </c>
      <c r="D40" s="5">
        <v>2.5</v>
      </c>
      <c r="E40" s="5">
        <v>2.25</v>
      </c>
      <c r="F40" s="5">
        <v>2.5</v>
      </c>
      <c r="G40" s="5">
        <v>2.5</v>
      </c>
      <c r="H40" s="7">
        <f t="shared" si="1"/>
        <v>9.75</v>
      </c>
      <c r="I40" s="35" t="s">
        <v>301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7"/>
    </row>
    <row r="41" spans="1:20" ht="15.75" x14ac:dyDescent="0.25">
      <c r="A41" s="7">
        <f t="shared" si="0"/>
        <v>37</v>
      </c>
      <c r="B41" s="6" t="s">
        <v>238</v>
      </c>
      <c r="C41" s="8" t="s">
        <v>288</v>
      </c>
      <c r="D41" s="5">
        <v>1.25</v>
      </c>
      <c r="E41" s="5">
        <v>2.25</v>
      </c>
      <c r="F41" s="5">
        <v>2.5</v>
      </c>
      <c r="G41" s="5">
        <v>0</v>
      </c>
      <c r="H41" s="7">
        <f t="shared" si="1"/>
        <v>6</v>
      </c>
      <c r="I41" s="35" t="s">
        <v>310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7"/>
    </row>
  </sheetData>
  <mergeCells count="39">
    <mergeCell ref="I39:T39"/>
    <mergeCell ref="I40:T40"/>
    <mergeCell ref="I41:T41"/>
    <mergeCell ref="A1:T3"/>
    <mergeCell ref="I33:T33"/>
    <mergeCell ref="I34:T34"/>
    <mergeCell ref="I35:T35"/>
    <mergeCell ref="I36:T36"/>
    <mergeCell ref="I37:T37"/>
    <mergeCell ref="I38:T38"/>
    <mergeCell ref="I27:T27"/>
    <mergeCell ref="I28:T28"/>
    <mergeCell ref="I29:T29"/>
    <mergeCell ref="I30:T30"/>
    <mergeCell ref="I31:T31"/>
    <mergeCell ref="I32:T32"/>
    <mergeCell ref="I26:T26"/>
    <mergeCell ref="I15:T15"/>
    <mergeCell ref="I16:T16"/>
    <mergeCell ref="I17:T17"/>
    <mergeCell ref="I18:T18"/>
    <mergeCell ref="I19:T19"/>
    <mergeCell ref="I20:T20"/>
    <mergeCell ref="I21:T21"/>
    <mergeCell ref="I22:T22"/>
    <mergeCell ref="I23:T23"/>
    <mergeCell ref="I24:T24"/>
    <mergeCell ref="I25:T25"/>
    <mergeCell ref="I14:T14"/>
    <mergeCell ref="I4:T4"/>
    <mergeCell ref="I5:T5"/>
    <mergeCell ref="I6:T6"/>
    <mergeCell ref="I7:T7"/>
    <mergeCell ref="I8:T8"/>
    <mergeCell ref="I9:T9"/>
    <mergeCell ref="I10:T10"/>
    <mergeCell ref="I11:T11"/>
    <mergeCell ref="I12:T12"/>
    <mergeCell ref="I13:T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B4D8-6192-4735-A46B-0B72EA33381F}">
  <dimension ref="A1:U41"/>
  <sheetViews>
    <sheetView tabSelected="1" zoomScale="77" workbookViewId="0">
      <selection activeCell="J12" sqref="J12:U12"/>
    </sheetView>
  </sheetViews>
  <sheetFormatPr defaultRowHeight="15" x14ac:dyDescent="0.25"/>
  <cols>
    <col min="1" max="1" width="4.28515625" bestFit="1" customWidth="1"/>
    <col min="2" max="2" width="20.42578125" customWidth="1"/>
    <col min="3" max="3" width="28.5703125" customWidth="1"/>
    <col min="4" max="4" width="11.28515625" customWidth="1"/>
    <col min="5" max="5" width="12.140625" customWidth="1"/>
    <col min="6" max="6" width="14.28515625" customWidth="1"/>
    <col min="7" max="8" width="13" customWidth="1"/>
  </cols>
  <sheetData>
    <row r="1" spans="1:21" x14ac:dyDescent="0.25">
      <c r="A1" s="41" t="s">
        <v>331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3"/>
    </row>
    <row r="2" spans="1:2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6"/>
    </row>
    <row r="3" spans="1:21" x14ac:dyDescent="0.2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9"/>
    </row>
    <row r="4" spans="1:21" ht="15.75" x14ac:dyDescent="0.25">
      <c r="A4" s="9" t="s">
        <v>244</v>
      </c>
      <c r="B4" s="9" t="s">
        <v>245</v>
      </c>
      <c r="C4" s="9" t="s">
        <v>246</v>
      </c>
      <c r="D4" s="9" t="s">
        <v>313</v>
      </c>
      <c r="E4" s="9" t="s">
        <v>314</v>
      </c>
      <c r="F4" s="9" t="s">
        <v>315</v>
      </c>
      <c r="G4" s="9" t="s">
        <v>316</v>
      </c>
      <c r="H4" s="9" t="s">
        <v>317</v>
      </c>
      <c r="I4" s="9" t="s">
        <v>290</v>
      </c>
      <c r="J4" s="32" t="s">
        <v>251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4"/>
    </row>
    <row r="5" spans="1:21" ht="15.75" x14ac:dyDescent="0.25">
      <c r="A5" s="7">
        <f>ROW()-4</f>
        <v>1</v>
      </c>
      <c r="B5" s="18" t="s">
        <v>26</v>
      </c>
      <c r="C5" s="8" t="s">
        <v>252</v>
      </c>
      <c r="D5" s="5">
        <v>1</v>
      </c>
      <c r="E5" s="5">
        <v>2.5</v>
      </c>
      <c r="F5" s="5">
        <v>2.5</v>
      </c>
      <c r="G5" s="5">
        <v>2</v>
      </c>
      <c r="H5" s="5">
        <v>2</v>
      </c>
      <c r="I5" s="7">
        <f>SUM(D5:H5)</f>
        <v>10</v>
      </c>
      <c r="J5" s="35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</row>
    <row r="6" spans="1:21" ht="15.75" x14ac:dyDescent="0.25">
      <c r="A6" s="7">
        <f t="shared" ref="A6:A41" si="0">ROW()-4</f>
        <v>2</v>
      </c>
      <c r="B6" s="18" t="s">
        <v>34</v>
      </c>
      <c r="C6" s="8" t="s">
        <v>253</v>
      </c>
      <c r="D6" s="5">
        <v>1</v>
      </c>
      <c r="E6" s="5">
        <v>2.5</v>
      </c>
      <c r="F6" s="5">
        <v>2</v>
      </c>
      <c r="G6" s="5">
        <v>1.5</v>
      </c>
      <c r="H6" s="5">
        <v>2</v>
      </c>
      <c r="I6" s="7">
        <f t="shared" ref="I6:I41" si="1">SUM(D6:H6)</f>
        <v>9</v>
      </c>
      <c r="J6" s="35" t="s">
        <v>320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7"/>
    </row>
    <row r="7" spans="1:21" ht="15.75" x14ac:dyDescent="0.25">
      <c r="A7" s="7">
        <f t="shared" si="0"/>
        <v>3</v>
      </c>
      <c r="B7" s="18" t="s">
        <v>40</v>
      </c>
      <c r="C7" s="8" t="s">
        <v>254</v>
      </c>
      <c r="D7" s="5">
        <v>1</v>
      </c>
      <c r="E7" s="5">
        <v>2.5</v>
      </c>
      <c r="F7" s="5">
        <v>2.5</v>
      </c>
      <c r="G7" s="5">
        <v>2</v>
      </c>
      <c r="H7" s="5">
        <v>0</v>
      </c>
      <c r="I7" s="7">
        <f t="shared" si="1"/>
        <v>8</v>
      </c>
      <c r="J7" s="35" t="s">
        <v>329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7"/>
    </row>
    <row r="8" spans="1:21" ht="15.75" x14ac:dyDescent="0.25">
      <c r="A8" s="7">
        <f t="shared" si="0"/>
        <v>4</v>
      </c>
      <c r="B8" s="18" t="s">
        <v>46</v>
      </c>
      <c r="C8" s="8" t="s">
        <v>255</v>
      </c>
      <c r="D8" s="5">
        <v>1</v>
      </c>
      <c r="E8" s="5">
        <v>2.5</v>
      </c>
      <c r="F8" s="5">
        <v>2.5</v>
      </c>
      <c r="G8" s="5">
        <v>2</v>
      </c>
      <c r="H8" s="5">
        <v>2</v>
      </c>
      <c r="I8" s="7">
        <f t="shared" si="1"/>
        <v>10</v>
      </c>
      <c r="J8" s="35"/>
      <c r="K8" s="36"/>
      <c r="L8" s="36"/>
      <c r="M8" s="36"/>
      <c r="N8" s="36"/>
      <c r="O8" s="36"/>
      <c r="P8" s="36"/>
      <c r="Q8" s="36"/>
      <c r="R8" s="36"/>
      <c r="S8" s="36"/>
      <c r="T8" s="36"/>
      <c r="U8" s="37"/>
    </row>
    <row r="9" spans="1:21" ht="15.75" x14ac:dyDescent="0.25">
      <c r="A9" s="7">
        <f t="shared" si="0"/>
        <v>5</v>
      </c>
      <c r="B9" s="18" t="s">
        <v>51</v>
      </c>
      <c r="C9" s="8" t="s">
        <v>256</v>
      </c>
      <c r="D9" s="5">
        <v>1</v>
      </c>
      <c r="E9" s="5">
        <v>1.75</v>
      </c>
      <c r="F9" s="5">
        <v>2.25</v>
      </c>
      <c r="G9" s="5">
        <v>2</v>
      </c>
      <c r="H9" s="5">
        <v>2</v>
      </c>
      <c r="I9" s="7">
        <f t="shared" si="1"/>
        <v>9</v>
      </c>
      <c r="J9" s="35" t="s">
        <v>327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7"/>
    </row>
    <row r="10" spans="1:21" ht="15.75" x14ac:dyDescent="0.25">
      <c r="A10" s="7">
        <f t="shared" si="0"/>
        <v>6</v>
      </c>
      <c r="B10" s="18" t="s">
        <v>57</v>
      </c>
      <c r="C10" s="8" t="s">
        <v>257</v>
      </c>
      <c r="D10" s="19">
        <v>1</v>
      </c>
      <c r="E10" s="19">
        <v>2.5</v>
      </c>
      <c r="F10" s="19">
        <v>2</v>
      </c>
      <c r="G10" s="19">
        <v>1.5</v>
      </c>
      <c r="H10" s="19">
        <v>2</v>
      </c>
      <c r="I10" s="7">
        <f t="shared" si="1"/>
        <v>9</v>
      </c>
      <c r="J10" s="50" t="s">
        <v>318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2"/>
    </row>
    <row r="11" spans="1:21" ht="15.75" x14ac:dyDescent="0.25">
      <c r="A11" s="7">
        <f t="shared" si="0"/>
        <v>7</v>
      </c>
      <c r="B11" s="18" t="s">
        <v>62</v>
      </c>
      <c r="C11" s="8" t="s">
        <v>258</v>
      </c>
      <c r="D11" s="5">
        <v>1</v>
      </c>
      <c r="E11" s="5">
        <v>2.5</v>
      </c>
      <c r="F11" s="5">
        <v>2.5</v>
      </c>
      <c r="G11" s="5">
        <v>2</v>
      </c>
      <c r="H11" s="5">
        <v>2</v>
      </c>
      <c r="I11" s="7">
        <f t="shared" si="1"/>
        <v>10</v>
      </c>
      <c r="J11" s="35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</row>
    <row r="12" spans="1:21" s="23" customFormat="1" ht="15.75" x14ac:dyDescent="0.25">
      <c r="A12" s="20">
        <f t="shared" si="0"/>
        <v>8</v>
      </c>
      <c r="B12" s="21" t="s">
        <v>68</v>
      </c>
      <c r="C12" s="22" t="s">
        <v>259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f t="shared" si="1"/>
        <v>0</v>
      </c>
      <c r="J12" s="53" t="s">
        <v>330</v>
      </c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5"/>
    </row>
    <row r="13" spans="1:21" ht="15.75" x14ac:dyDescent="0.25">
      <c r="A13" s="7">
        <f t="shared" si="0"/>
        <v>9</v>
      </c>
      <c r="B13" s="18" t="s">
        <v>74</v>
      </c>
      <c r="C13" s="8" t="s">
        <v>260</v>
      </c>
      <c r="D13" s="5">
        <v>1</v>
      </c>
      <c r="E13" s="5">
        <v>2.5</v>
      </c>
      <c r="F13" s="5">
        <v>2.5</v>
      </c>
      <c r="G13" s="5">
        <v>2</v>
      </c>
      <c r="H13" s="5">
        <v>2</v>
      </c>
      <c r="I13" s="7">
        <f t="shared" si="1"/>
        <v>10</v>
      </c>
      <c r="J13" s="3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</row>
    <row r="14" spans="1:21" s="23" customFormat="1" ht="15.75" x14ac:dyDescent="0.25">
      <c r="A14" s="20">
        <f t="shared" si="0"/>
        <v>10</v>
      </c>
      <c r="B14" s="21" t="s">
        <v>80</v>
      </c>
      <c r="C14" s="22" t="s">
        <v>261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f t="shared" si="1"/>
        <v>0</v>
      </c>
      <c r="J14" s="53" t="s">
        <v>330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5"/>
    </row>
    <row r="15" spans="1:21" s="27" customFormat="1" ht="15.75" x14ac:dyDescent="0.25">
      <c r="A15" s="24">
        <f t="shared" si="0"/>
        <v>11</v>
      </c>
      <c r="B15" s="25" t="s">
        <v>86</v>
      </c>
      <c r="C15" s="26" t="s">
        <v>262</v>
      </c>
      <c r="D15" s="24" t="s">
        <v>292</v>
      </c>
      <c r="E15" s="24" t="s">
        <v>292</v>
      </c>
      <c r="F15" s="24" t="s">
        <v>292</v>
      </c>
      <c r="G15" s="24" t="s">
        <v>292</v>
      </c>
      <c r="H15" s="24" t="s">
        <v>292</v>
      </c>
      <c r="I15" s="24">
        <f t="shared" si="1"/>
        <v>0</v>
      </c>
      <c r="J15" s="56" t="s">
        <v>293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8"/>
    </row>
    <row r="16" spans="1:21" ht="15.75" x14ac:dyDescent="0.25">
      <c r="A16" s="7">
        <f t="shared" si="0"/>
        <v>12</v>
      </c>
      <c r="B16" s="18" t="s">
        <v>92</v>
      </c>
      <c r="C16" s="8" t="s">
        <v>263</v>
      </c>
      <c r="D16" s="5">
        <v>1</v>
      </c>
      <c r="E16" s="5">
        <v>2.5</v>
      </c>
      <c r="F16" s="5">
        <v>2.5</v>
      </c>
      <c r="G16" s="5">
        <v>2</v>
      </c>
      <c r="H16" s="5">
        <v>2</v>
      </c>
      <c r="I16" s="7">
        <f t="shared" si="1"/>
        <v>10</v>
      </c>
      <c r="J16" s="3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</row>
    <row r="17" spans="1:21" ht="15.75" x14ac:dyDescent="0.25">
      <c r="A17" s="7">
        <f t="shared" si="0"/>
        <v>13</v>
      </c>
      <c r="B17" s="18" t="s">
        <v>98</v>
      </c>
      <c r="C17" s="8" t="s">
        <v>264</v>
      </c>
      <c r="D17" s="5">
        <v>1</v>
      </c>
      <c r="E17" s="5">
        <v>2.5</v>
      </c>
      <c r="F17" s="5">
        <v>2.5</v>
      </c>
      <c r="G17" s="5">
        <v>2</v>
      </c>
      <c r="H17" s="5">
        <v>2</v>
      </c>
      <c r="I17" s="7">
        <f t="shared" si="1"/>
        <v>10</v>
      </c>
      <c r="J17" s="3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</row>
    <row r="18" spans="1:21" ht="15.75" x14ac:dyDescent="0.25">
      <c r="A18" s="7">
        <f t="shared" si="0"/>
        <v>14</v>
      </c>
      <c r="B18" s="18" t="s">
        <v>104</v>
      </c>
      <c r="C18" s="8" t="s">
        <v>265</v>
      </c>
      <c r="D18" s="5">
        <v>1</v>
      </c>
      <c r="E18" s="5">
        <v>2.5</v>
      </c>
      <c r="F18" s="5">
        <v>2.5</v>
      </c>
      <c r="G18" s="5">
        <v>2</v>
      </c>
      <c r="H18" s="5">
        <v>2</v>
      </c>
      <c r="I18" s="7">
        <f t="shared" si="1"/>
        <v>10</v>
      </c>
      <c r="J18" s="3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</row>
    <row r="19" spans="1:21" s="27" customFormat="1" ht="15.75" x14ac:dyDescent="0.25">
      <c r="A19" s="24">
        <f t="shared" si="0"/>
        <v>15</v>
      </c>
      <c r="B19" s="25" t="s">
        <v>110</v>
      </c>
      <c r="C19" s="26" t="s">
        <v>266</v>
      </c>
      <c r="D19" s="24" t="s">
        <v>292</v>
      </c>
      <c r="E19" s="24" t="s">
        <v>292</v>
      </c>
      <c r="F19" s="24" t="s">
        <v>292</v>
      </c>
      <c r="G19" s="24" t="s">
        <v>292</v>
      </c>
      <c r="H19" s="24" t="s">
        <v>292</v>
      </c>
      <c r="I19" s="24">
        <f t="shared" si="1"/>
        <v>0</v>
      </c>
      <c r="J19" s="56" t="s">
        <v>293</v>
      </c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8"/>
    </row>
    <row r="20" spans="1:21" s="27" customFormat="1" ht="15.75" x14ac:dyDescent="0.25">
      <c r="A20" s="24">
        <f t="shared" si="0"/>
        <v>16</v>
      </c>
      <c r="B20" s="25" t="s">
        <v>116</v>
      </c>
      <c r="C20" s="26" t="s">
        <v>267</v>
      </c>
      <c r="D20" s="24" t="s">
        <v>292</v>
      </c>
      <c r="E20" s="24" t="s">
        <v>292</v>
      </c>
      <c r="F20" s="24" t="s">
        <v>292</v>
      </c>
      <c r="G20" s="24" t="s">
        <v>292</v>
      </c>
      <c r="H20" s="24" t="s">
        <v>292</v>
      </c>
      <c r="I20" s="24">
        <f t="shared" si="1"/>
        <v>0</v>
      </c>
      <c r="J20" s="56" t="s">
        <v>293</v>
      </c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</row>
    <row r="21" spans="1:21" s="27" customFormat="1" ht="15.75" x14ac:dyDescent="0.25">
      <c r="A21" s="24">
        <f t="shared" si="0"/>
        <v>17</v>
      </c>
      <c r="B21" s="25" t="s">
        <v>122</v>
      </c>
      <c r="C21" s="26" t="s">
        <v>268</v>
      </c>
      <c r="D21" s="24" t="s">
        <v>292</v>
      </c>
      <c r="E21" s="24" t="s">
        <v>292</v>
      </c>
      <c r="F21" s="24" t="s">
        <v>292</v>
      </c>
      <c r="G21" s="24" t="s">
        <v>292</v>
      </c>
      <c r="H21" s="24" t="s">
        <v>292</v>
      </c>
      <c r="I21" s="24">
        <f t="shared" si="1"/>
        <v>0</v>
      </c>
      <c r="J21" s="56" t="s">
        <v>293</v>
      </c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8"/>
    </row>
    <row r="22" spans="1:21" s="23" customFormat="1" ht="15.75" x14ac:dyDescent="0.25">
      <c r="A22" s="20">
        <f t="shared" si="0"/>
        <v>18</v>
      </c>
      <c r="B22" s="21" t="s">
        <v>128</v>
      </c>
      <c r="C22" s="22" t="s">
        <v>269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f t="shared" si="1"/>
        <v>0</v>
      </c>
      <c r="J22" s="53" t="s">
        <v>330</v>
      </c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/>
    </row>
    <row r="23" spans="1:21" s="27" customFormat="1" ht="15.75" x14ac:dyDescent="0.25">
      <c r="A23" s="24">
        <f t="shared" si="0"/>
        <v>19</v>
      </c>
      <c r="B23" s="25" t="s">
        <v>134</v>
      </c>
      <c r="C23" s="26" t="s">
        <v>270</v>
      </c>
      <c r="D23" s="24" t="s">
        <v>292</v>
      </c>
      <c r="E23" s="24" t="s">
        <v>292</v>
      </c>
      <c r="F23" s="24" t="s">
        <v>292</v>
      </c>
      <c r="G23" s="24" t="s">
        <v>292</v>
      </c>
      <c r="H23" s="24" t="s">
        <v>292</v>
      </c>
      <c r="I23" s="24">
        <f t="shared" si="1"/>
        <v>0</v>
      </c>
      <c r="J23" s="56" t="s">
        <v>293</v>
      </c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8"/>
    </row>
    <row r="24" spans="1:21" ht="15.75" x14ac:dyDescent="0.25">
      <c r="A24" s="7">
        <f t="shared" si="0"/>
        <v>20</v>
      </c>
      <c r="B24" s="18" t="s">
        <v>139</v>
      </c>
      <c r="C24" s="8" t="s">
        <v>271</v>
      </c>
      <c r="D24" s="5">
        <v>1</v>
      </c>
      <c r="E24" s="5">
        <v>2.5</v>
      </c>
      <c r="F24" s="5">
        <v>1.5</v>
      </c>
      <c r="G24" s="5">
        <v>0.5</v>
      </c>
      <c r="H24" s="5">
        <v>2</v>
      </c>
      <c r="I24" s="7">
        <f t="shared" si="1"/>
        <v>7.5</v>
      </c>
      <c r="J24" s="35" t="s">
        <v>319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</row>
    <row r="25" spans="1:21" ht="15.75" x14ac:dyDescent="0.25">
      <c r="A25" s="7">
        <f t="shared" si="0"/>
        <v>21</v>
      </c>
      <c r="B25" s="18" t="s">
        <v>145</v>
      </c>
      <c r="C25" s="8" t="s">
        <v>272</v>
      </c>
      <c r="D25" s="5">
        <v>1</v>
      </c>
      <c r="E25" s="5">
        <v>2.5</v>
      </c>
      <c r="F25" s="5">
        <v>2</v>
      </c>
      <c r="G25" s="5">
        <v>2</v>
      </c>
      <c r="H25" s="5">
        <v>2</v>
      </c>
      <c r="I25" s="7">
        <f t="shared" si="1"/>
        <v>9.5</v>
      </c>
      <c r="J25" s="35" t="s">
        <v>321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</row>
    <row r="26" spans="1:21" s="23" customFormat="1" ht="15.75" x14ac:dyDescent="0.25">
      <c r="A26" s="20">
        <f t="shared" si="0"/>
        <v>22</v>
      </c>
      <c r="B26" s="21" t="s">
        <v>151</v>
      </c>
      <c r="C26" s="22" t="s">
        <v>273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f t="shared" si="1"/>
        <v>0</v>
      </c>
      <c r="J26" s="53" t="s">
        <v>330</v>
      </c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5"/>
    </row>
    <row r="27" spans="1:21" ht="15.75" x14ac:dyDescent="0.25">
      <c r="A27" s="7">
        <f t="shared" si="0"/>
        <v>23</v>
      </c>
      <c r="B27" s="18" t="s">
        <v>157</v>
      </c>
      <c r="C27" s="8" t="s">
        <v>274</v>
      </c>
      <c r="D27" s="5">
        <v>1</v>
      </c>
      <c r="E27" s="5">
        <v>2.5</v>
      </c>
      <c r="F27" s="5">
        <v>2.5</v>
      </c>
      <c r="G27" s="5">
        <v>2</v>
      </c>
      <c r="H27" s="5">
        <v>2</v>
      </c>
      <c r="I27" s="7">
        <f t="shared" si="1"/>
        <v>10</v>
      </c>
      <c r="J27" s="35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</row>
    <row r="28" spans="1:21" ht="15.75" x14ac:dyDescent="0.25">
      <c r="A28" s="7">
        <f>ROW()-4</f>
        <v>24</v>
      </c>
      <c r="B28" s="18" t="s">
        <v>163</v>
      </c>
      <c r="C28" s="8" t="s">
        <v>275</v>
      </c>
      <c r="D28" s="5">
        <v>1</v>
      </c>
      <c r="E28" s="5">
        <v>2.5</v>
      </c>
      <c r="F28" s="5">
        <v>2.5</v>
      </c>
      <c r="G28" s="5">
        <v>2</v>
      </c>
      <c r="H28" s="5">
        <v>2</v>
      </c>
      <c r="I28" s="7">
        <f t="shared" si="1"/>
        <v>10</v>
      </c>
      <c r="J28" s="3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</row>
    <row r="29" spans="1:21" s="27" customFormat="1" ht="15.75" x14ac:dyDescent="0.25">
      <c r="A29" s="24">
        <f t="shared" si="0"/>
        <v>25</v>
      </c>
      <c r="B29" s="25" t="s">
        <v>168</v>
      </c>
      <c r="C29" s="26" t="s">
        <v>276</v>
      </c>
      <c r="D29" s="24" t="s">
        <v>292</v>
      </c>
      <c r="E29" s="24" t="s">
        <v>292</v>
      </c>
      <c r="F29" s="24" t="s">
        <v>292</v>
      </c>
      <c r="G29" s="24" t="s">
        <v>292</v>
      </c>
      <c r="H29" s="24" t="s">
        <v>292</v>
      </c>
      <c r="I29" s="24">
        <f t="shared" si="1"/>
        <v>0</v>
      </c>
      <c r="J29" s="56" t="s">
        <v>293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8"/>
    </row>
    <row r="30" spans="1:21" ht="15.75" x14ac:dyDescent="0.25">
      <c r="A30" s="7">
        <f t="shared" si="0"/>
        <v>26</v>
      </c>
      <c r="B30" s="18" t="s">
        <v>174</v>
      </c>
      <c r="C30" s="8" t="s">
        <v>277</v>
      </c>
      <c r="D30" s="19">
        <v>0.75</v>
      </c>
      <c r="E30" s="5">
        <v>2.5</v>
      </c>
      <c r="F30" s="5">
        <v>2</v>
      </c>
      <c r="G30" s="5">
        <v>1.5</v>
      </c>
      <c r="H30" s="5">
        <v>2</v>
      </c>
      <c r="I30" s="7">
        <f t="shared" si="1"/>
        <v>8.75</v>
      </c>
      <c r="J30" s="35" t="s">
        <v>322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</row>
    <row r="31" spans="1:21" s="23" customFormat="1" ht="15.75" x14ac:dyDescent="0.25">
      <c r="A31" s="20">
        <f t="shared" si="0"/>
        <v>27</v>
      </c>
      <c r="B31" s="21" t="s">
        <v>180</v>
      </c>
      <c r="C31" s="22" t="s">
        <v>278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f t="shared" si="1"/>
        <v>0</v>
      </c>
      <c r="J31" s="53" t="s">
        <v>330</v>
      </c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5"/>
    </row>
    <row r="32" spans="1:21" s="23" customFormat="1" ht="15.75" x14ac:dyDescent="0.25">
      <c r="A32" s="20">
        <f>ROW()-4</f>
        <v>28</v>
      </c>
      <c r="B32" s="21" t="s">
        <v>186</v>
      </c>
      <c r="C32" s="22" t="s">
        <v>279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53" t="s">
        <v>330</v>
      </c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5"/>
    </row>
    <row r="33" spans="1:21" ht="15.75" x14ac:dyDescent="0.25">
      <c r="A33" s="7">
        <f t="shared" si="0"/>
        <v>29</v>
      </c>
      <c r="B33" s="18" t="s">
        <v>194</v>
      </c>
      <c r="C33" s="8" t="s">
        <v>280</v>
      </c>
      <c r="D33" s="19">
        <v>1</v>
      </c>
      <c r="E33" s="5">
        <v>2.5</v>
      </c>
      <c r="F33" s="5">
        <v>2.5</v>
      </c>
      <c r="G33" s="5">
        <v>1.5</v>
      </c>
      <c r="H33" s="5">
        <v>0</v>
      </c>
      <c r="I33" s="7">
        <f t="shared" si="1"/>
        <v>7.5</v>
      </c>
      <c r="J33" s="50" t="s">
        <v>323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2"/>
    </row>
    <row r="34" spans="1:21" ht="15.75" x14ac:dyDescent="0.25">
      <c r="A34" s="7">
        <f t="shared" si="0"/>
        <v>30</v>
      </c>
      <c r="B34" s="18" t="s">
        <v>198</v>
      </c>
      <c r="C34" s="8" t="s">
        <v>281</v>
      </c>
      <c r="D34" s="5">
        <v>1</v>
      </c>
      <c r="E34" s="5">
        <v>2.5</v>
      </c>
      <c r="F34" s="5">
        <v>2.5</v>
      </c>
      <c r="G34" s="5">
        <v>2</v>
      </c>
      <c r="H34" s="5">
        <v>2</v>
      </c>
      <c r="I34" s="7">
        <f t="shared" si="1"/>
        <v>10</v>
      </c>
      <c r="J34" s="35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/>
    </row>
    <row r="35" spans="1:21" s="23" customFormat="1" ht="15.75" x14ac:dyDescent="0.25">
      <c r="A35" s="20">
        <f t="shared" si="0"/>
        <v>31</v>
      </c>
      <c r="B35" s="21" t="s">
        <v>204</v>
      </c>
      <c r="C35" s="22" t="s">
        <v>282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f t="shared" si="1"/>
        <v>0</v>
      </c>
      <c r="J35" s="53" t="s">
        <v>330</v>
      </c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31.5" x14ac:dyDescent="0.25">
      <c r="A36" s="7">
        <f>ROW()-4</f>
        <v>32</v>
      </c>
      <c r="B36" s="18" t="s">
        <v>210</v>
      </c>
      <c r="C36" s="8" t="s">
        <v>283</v>
      </c>
      <c r="D36" s="5">
        <v>1</v>
      </c>
      <c r="E36" s="5">
        <v>2.5</v>
      </c>
      <c r="F36" s="5">
        <v>1.5</v>
      </c>
      <c r="G36" s="5">
        <v>2</v>
      </c>
      <c r="H36" s="5">
        <v>2</v>
      </c>
      <c r="I36" s="7">
        <f t="shared" si="1"/>
        <v>9</v>
      </c>
      <c r="J36" s="35" t="s">
        <v>324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</row>
    <row r="37" spans="1:21" s="23" customFormat="1" ht="15.75" x14ac:dyDescent="0.25">
      <c r="A37" s="20">
        <f t="shared" si="0"/>
        <v>33</v>
      </c>
      <c r="B37" s="21" t="s">
        <v>216</v>
      </c>
      <c r="C37" s="22" t="s">
        <v>284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f t="shared" si="1"/>
        <v>0</v>
      </c>
      <c r="J37" s="53" t="s">
        <v>330</v>
      </c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5"/>
    </row>
    <row r="38" spans="1:21" ht="15.75" x14ac:dyDescent="0.25">
      <c r="A38" s="7">
        <f t="shared" si="0"/>
        <v>34</v>
      </c>
      <c r="B38" s="18" t="s">
        <v>221</v>
      </c>
      <c r="C38" s="8" t="s">
        <v>285</v>
      </c>
      <c r="D38" s="5">
        <v>0.75</v>
      </c>
      <c r="E38" s="5">
        <v>2.5</v>
      </c>
      <c r="F38" s="5">
        <v>2.25</v>
      </c>
      <c r="G38" s="5">
        <v>2</v>
      </c>
      <c r="H38" s="5">
        <v>2</v>
      </c>
      <c r="I38" s="7">
        <f t="shared" si="1"/>
        <v>9.5</v>
      </c>
      <c r="J38" s="35" t="s">
        <v>325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</row>
    <row r="39" spans="1:21" ht="15.75" x14ac:dyDescent="0.25">
      <c r="A39" s="7">
        <f>ROW()-4</f>
        <v>35</v>
      </c>
      <c r="B39" s="18" t="s">
        <v>226</v>
      </c>
      <c r="C39" s="8" t="s">
        <v>286</v>
      </c>
      <c r="D39" s="5">
        <v>1</v>
      </c>
      <c r="E39" s="5">
        <v>2.5</v>
      </c>
      <c r="F39" s="5">
        <v>1.5</v>
      </c>
      <c r="G39" s="5">
        <v>0.5</v>
      </c>
      <c r="H39" s="5">
        <v>2</v>
      </c>
      <c r="I39" s="7">
        <f t="shared" si="1"/>
        <v>7.5</v>
      </c>
      <c r="J39" s="35" t="s">
        <v>326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</row>
    <row r="40" spans="1:21" ht="31.5" x14ac:dyDescent="0.25">
      <c r="A40" s="7">
        <f t="shared" si="0"/>
        <v>36</v>
      </c>
      <c r="B40" s="18" t="s">
        <v>232</v>
      </c>
      <c r="C40" s="8" t="s">
        <v>287</v>
      </c>
      <c r="D40" s="5">
        <v>1</v>
      </c>
      <c r="E40" s="5">
        <v>2</v>
      </c>
      <c r="F40" s="5">
        <v>2.5</v>
      </c>
      <c r="G40" s="5">
        <v>0</v>
      </c>
      <c r="H40" s="5">
        <v>0</v>
      </c>
      <c r="I40" s="7">
        <f t="shared" si="1"/>
        <v>5.5</v>
      </c>
      <c r="J40" s="35" t="s">
        <v>328</v>
      </c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</row>
    <row r="41" spans="1:21" ht="15.75" x14ac:dyDescent="0.25">
      <c r="A41" s="7">
        <f t="shared" si="0"/>
        <v>37</v>
      </c>
      <c r="B41" s="18" t="s">
        <v>238</v>
      </c>
      <c r="C41" s="8" t="s">
        <v>288</v>
      </c>
      <c r="D41" s="5">
        <v>1</v>
      </c>
      <c r="E41" s="5">
        <v>2.5</v>
      </c>
      <c r="F41" s="5">
        <v>2.5</v>
      </c>
      <c r="G41" s="5">
        <v>2</v>
      </c>
      <c r="H41" s="5">
        <v>2</v>
      </c>
      <c r="I41" s="7">
        <f t="shared" si="1"/>
        <v>10</v>
      </c>
      <c r="J41" s="35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</row>
  </sheetData>
  <mergeCells count="39">
    <mergeCell ref="J8:U8"/>
    <mergeCell ref="A1:U3"/>
    <mergeCell ref="J4:U4"/>
    <mergeCell ref="J5:U5"/>
    <mergeCell ref="J6:U6"/>
    <mergeCell ref="J7:U7"/>
    <mergeCell ref="J20:U20"/>
    <mergeCell ref="J9:U9"/>
    <mergeCell ref="J10:U10"/>
    <mergeCell ref="J11:U11"/>
    <mergeCell ref="J12:U12"/>
    <mergeCell ref="J13:U13"/>
    <mergeCell ref="J14:U14"/>
    <mergeCell ref="J15:U15"/>
    <mergeCell ref="J16:U16"/>
    <mergeCell ref="J17:U17"/>
    <mergeCell ref="J18:U18"/>
    <mergeCell ref="J19:U19"/>
    <mergeCell ref="J32:U32"/>
    <mergeCell ref="J21:U21"/>
    <mergeCell ref="J22:U22"/>
    <mergeCell ref="J23:U23"/>
    <mergeCell ref="J24:U24"/>
    <mergeCell ref="J25:U25"/>
    <mergeCell ref="J26:U26"/>
    <mergeCell ref="J27:U27"/>
    <mergeCell ref="J28:U28"/>
    <mergeCell ref="J29:U29"/>
    <mergeCell ref="J30:U30"/>
    <mergeCell ref="J31:U31"/>
    <mergeCell ref="J39:U39"/>
    <mergeCell ref="J40:U40"/>
    <mergeCell ref="J41:U41"/>
    <mergeCell ref="J33:U33"/>
    <mergeCell ref="J34:U34"/>
    <mergeCell ref="J35:U35"/>
    <mergeCell ref="J36:U36"/>
    <mergeCell ref="J37:U37"/>
    <mergeCell ref="J38:U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DanhSachSV</vt:lpstr>
      <vt:lpstr>Hand-writing</vt:lpstr>
      <vt:lpstr>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Trung Kiên</cp:lastModifiedBy>
  <dcterms:modified xsi:type="dcterms:W3CDTF">2026-10-12T15:11:40Z</dcterms:modified>
</cp:coreProperties>
</file>