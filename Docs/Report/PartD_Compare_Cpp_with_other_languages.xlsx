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rank\Downloads\DSA_GR1_Linked_List\Docs\Report\"/>
    </mc:Choice>
  </mc:AlternateContent>
  <xr:revisionPtr revIDLastSave="0" documentId="13_ncr:1_{0436E9F5-9DAC-4B6F-80B3-6C887D7FC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Benchmark Dashboard" sheetId="2" r:id="rId2"/>
    <sheet name="Detailed Metr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B12" i="2"/>
  <c r="F11" i="2"/>
  <c r="E11" i="2"/>
  <c r="D11" i="2"/>
  <c r="C11" i="2"/>
  <c r="B11" i="2"/>
  <c r="F9" i="2"/>
  <c r="E9" i="2"/>
  <c r="D9" i="2"/>
  <c r="C9" i="2"/>
  <c r="B9" i="2"/>
</calcChain>
</file>

<file path=xl/sharedStrings.xml><?xml version="1.0" encoding="utf-8"?>
<sst xmlns="http://schemas.openxmlformats.org/spreadsheetml/2006/main" count="130" uniqueCount="115">
  <si>
    <t>SINGLY LINKED LIST BENCHMARK &amp; COMPARISON REPORT</t>
  </si>
  <si>
    <t>Empirical Analysis &amp; Multi-Dimensional Comparison Framework (C++, Python, Java, JavaScript, Go)</t>
  </si>
  <si>
    <t>Fastest Search &amp; Memory</t>
  </si>
  <si>
    <t>Fastest Insertion</t>
  </si>
  <si>
    <t>C++ vs Python Speedup</t>
  </si>
  <si>
    <t>Peak Memory Overhead</t>
  </si>
  <si>
    <t>Safest Concurrency</t>
  </si>
  <si>
    <t>Go (5.0 ms / 16.0 MB)</t>
  </si>
  <si>
    <t>Java (36.2 ms)</t>
  </si>
  <si>
    <t>11.4x Faster</t>
  </si>
  <si>
    <t>Python (107.2 MB)</t>
  </si>
  <si>
    <t>Go / Rust Paradigm</t>
  </si>
  <si>
    <t>1. WHAT A GOOD COMPARISON ACTUALLY SAYS (4 CORE PRINCIPLES)</t>
  </si>
  <si>
    <t>1. Be Fair</t>
  </si>
  <si>
    <t>Same algorithm, same input (1,000,000 elements), same machine. Comparing hand-written C++ struct against Python's built-in dynamic list is NOT a language comparison — state exactly what is tested.</t>
  </si>
  <si>
    <t>2. Explain the Gap</t>
  </si>
  <si>
    <t>3. Cover the Trade-offs</t>
  </si>
  <si>
    <t>Runtime, memory, lines of code, developer time spent writing, ease of finding bugs, type safety. Speed is NOT the only axis in production engineering.</t>
  </si>
  <si>
    <t>4. Name the Right Tool</t>
  </si>
  <si>
    <t>End with actionable recommendations: which language fits which engineering problem in production and why, defended with empirical benchmark data.</t>
  </si>
  <si>
    <t>2. ANGLES WORTH COVERING IN TECHNICAL EVALUATIONS</t>
  </si>
  <si>
    <t>Dimension</t>
  </si>
  <si>
    <t>C++</t>
  </si>
  <si>
    <t>Python</t>
  </si>
  <si>
    <t>Java</t>
  </si>
  <si>
    <t>JavaScript (Node.js)</t>
  </si>
  <si>
    <t>Go</t>
  </si>
  <si>
    <t>Memory Model</t>
  </si>
  <si>
    <t>Manual Pointers / Zero Header</t>
  </si>
  <si>
    <t>PyObject Wrapper &amp; Dict</t>
  </si>
  <si>
    <t>JVM Object Header + Comp. OOPs</t>
  </si>
  <si>
    <t>V8 Hidden Classes / Dynamic Shapes</t>
  </si>
  <si>
    <t>Lightweight Struct + Raw Pointer</t>
  </si>
  <si>
    <t>Garbage Collection</t>
  </si>
  <si>
    <t>None (Manual RAII / Delete)</t>
  </si>
  <si>
    <t>Reference Counting + Tracing</t>
  </si>
  <si>
    <t>Generational GC (TLAB Eden)</t>
  </si>
  <si>
    <t>Generational V8 Scavenger/Mark</t>
  </si>
  <si>
    <t>Tri-color Concurrent Mark-Sweep</t>
  </si>
  <si>
    <t>Type System</t>
  </si>
  <si>
    <t>Static &amp; Strong (Compile-time)</t>
  </si>
  <si>
    <t>Dynamic &amp; Strong (Runtime)</t>
  </si>
  <si>
    <t>Dynamic &amp; Loose (Implicit Coercion)</t>
  </si>
  <si>
    <t>Static &amp; Strong (Type Inference)</t>
  </si>
  <si>
    <t>Execution Model</t>
  </si>
  <si>
    <t>AOT Compiled Machine Code</t>
  </si>
  <si>
    <t>CPython Bytecode Interpreter</t>
  </si>
  <si>
    <t>JIT Compiled Bytecode</t>
  </si>
  <si>
    <t>JIT Compiled V8 TurboFan</t>
  </si>
  <si>
    <t>AOT Compiled Native Binary</t>
  </si>
  <si>
    <t>Tooling Ecosystem</t>
  </si>
  <si>
    <t>Valgrind, GDB, CMake, Perf</t>
  </si>
  <si>
    <t>Pytest, PDB, Anaconda, PIP</t>
  </si>
  <si>
    <t>VisualVM, JProfiler, Maven</t>
  </si>
  <si>
    <t>Chrome DevTools, NPM, Vite</t>
  </si>
  <si>
    <t>Built-in pprof, go test, gofmt</t>
  </si>
  <si>
    <t>3. PRODUCTION LANGUAGE SELECTION MATRIX</t>
  </si>
  <si>
    <t>Language</t>
  </si>
  <si>
    <t>Primary Production Use Cases</t>
  </si>
  <si>
    <t>Core Engineering Defense &amp; Justification</t>
  </si>
  <si>
    <t>Embedded Systems, Game Engines, RTOS, Low-Latency Trading, OS Kernels</t>
  </si>
  <si>
    <t>Maximum raw execution speed and complete control over physical hardware memory layout.</t>
  </si>
  <si>
    <t>Data Science, Machine Learning / AI Pipelines, Scripting, Rapid MVP Prototyping</t>
  </si>
  <si>
    <t>Maximum developer productivity and unrivaled ecosystem for scientific computing.</t>
  </si>
  <si>
    <t>Enterprise Backend Services, Distributed Systems (Kafka/Hadoop), Banking Core</t>
  </si>
  <si>
    <t>Battle-tested scalability, robust JVM tooling, memory safety, and thread concurrency.</t>
  </si>
  <si>
    <t>JavaScript</t>
  </si>
  <si>
    <t>Full-Stack Web Applications, Real-Time I/O Services, Node.js Microservices</t>
  </si>
  <si>
    <t>Unified language across browser/server, asynchronous event loop, massive ecosystem.</t>
  </si>
  <si>
    <t>Cloud Infrastructure (Docker/Kubernetes), Microservices, High-Concurrency APIs</t>
  </si>
  <si>
    <t>Sub-millisecond GC pauses, fast compile times, low RAM footprint, and lightweight goroutines.</t>
  </si>
  <si>
    <t>BENCHMARK DASHBOARD: SINGLY LINKED LIST (N = 1,000,000)</t>
  </si>
  <si>
    <t>Comparative Empirical Analysis Across 5 Programming Languages</t>
  </si>
  <si>
    <t>Test Scenario: Empirical Performance Benchmark for Insertion (1M elements) and Linear Search Operations on Singly Linked List</t>
  </si>
  <si>
    <t>Criterion</t>
  </si>
  <si>
    <t>Built-in structure used</t>
  </si>
  <si>
    <t>std::forward_list&lt;T&gt; / Custom Node struct (struct Node { T data; Node* next; }). Direct raw machine memory pointers with zero object header overhead.</t>
  </si>
  <si>
    <t>Custom class with next reference (class Node: def __init__(self, val): self.val = val; self.next = None). Every node wrapped as a dynamic PyObject.</t>
  </si>
  <si>
    <t>java.util.LinkedList&lt;T&gt; / Custom Node class (class Node&lt;T&gt; { T data; Node&lt;T&gt; next; }). Managed via JVM object headers &amp; compressed OOPs.</t>
  </si>
  <si>
    <t>Custom class w/ next ref (class Node { constructor(val) { this.val = val; this.next = null; } }). Optimized by V8 dynamic shapes &amp; hidden classes.</t>
  </si>
  <si>
    <t>Lightweight struct with pointer (type Node struct { Val int; Next *Node }). Direct pointer layout without vtables or object headers.</t>
  </si>
  <si>
    <t>Insert Time (ms)</t>
  </si>
  <si>
    <t>Search Time (ms)</t>
  </si>
  <si>
    <t>Total Execution Time (ms)</t>
  </si>
  <si>
    <t>Memory Footprint (MB)</t>
  </si>
  <si>
    <t>Insert Speedup vs Python</t>
  </si>
  <si>
    <t>Memory Ratio vs Go</t>
  </si>
  <si>
    <t>Memory management</t>
  </si>
  <si>
    <t>Manual / RAII (new/delete, std::unique_ptr). Direct heap allocation with zero garbage collection pauses or background thread overhead.</t>
  </si>
  <si>
    <t>Garbage Collected (Reference Counting + 3-generation cyclic tracing GC). Immediate destruction plus periodic cycle collection.</t>
  </si>
  <si>
    <t>Garbage Collected (Generational Tracing GC with TLAB allocation). Fast Eden space bump-pointer allocation and concurrent sweep cycles.</t>
  </si>
  <si>
    <t>Garbage Collected (V8 Generational GC). Young Generation Scavenger copying paired with Old Generation Mark-Sweep-Compact collector.</t>
  </si>
  <si>
    <t>Garbage Collected (Tri-color Concurrent Mark-Sweep). Low-latency, non-generational collector designed for sub-millisecond GC pause times.</t>
  </si>
  <si>
    <t>Type safety</t>
  </si>
  <si>
    <t>Static &amp; Strong. Evaluated fully at compile time. Eliminates runtime type check overhead; zero-cost template abstractions.</t>
  </si>
  <si>
    <t>Dynamic &amp; Strong. Variables are untyped references to typed objects checked at runtime. Prevents implicit type coercion with dynamic overhead.</t>
  </si>
  <si>
    <t>Static &amp; Strong. Strictly enforced at compile time with generics and static type checking, preventing dynamic runtime type errors.</t>
  </si>
  <si>
    <t>Dynamic &amp; Loose (Weak). Dynamic typing with implicit type coercion. High runtime flexibility but higher risk of dynamic type bugs.</t>
  </si>
  <si>
    <t>Static &amp; Strong. Compile-time static type system with type inference (:=), structural interface satisfaction, and parametric generics.</t>
  </si>
  <si>
    <t>Readability of the code</t>
  </si>
  <si>
    <t>Moderate. Requires explicit pointer operators (-&gt;, *), header declarations, and manual memory awareness. Powerful but syntactically complex.</t>
  </si>
  <si>
    <t>High. Clean, expressive, pseudocode-like syntax with intuitive object attribute access (node.next). Highly readable and ideal for prototyping.</t>
  </si>
  <si>
    <t>Moderate / High. Structured object-oriented syntax with explicit class definitions. Verbose compared to Python/Go, but highly standardized.</t>
  </si>
  <si>
    <t>High. Modern ES6 class syntax (class Node). High developer readability, though loose dynamic typing can complicate large codebases.</t>
  </si>
  <si>
    <t>High. Minimalist design philosophy with standard formatting (gofmt), clean pointer notation (*Node), and zero syntactic clutter.</t>
  </si>
  <si>
    <t>Where you would use it</t>
  </si>
  <si>
    <t>Embedded Systems / High-Performance Core. Real-time operating systems, game engines, OS kernels, low-latency trading engines, driver development.</t>
  </si>
  <si>
    <t>Data Science / Prototyping / Algorithms. Machine learning pipelines, script automation, algorithm research, and rapid MVP development.</t>
  </si>
  <si>
    <t>Enterprise Backend Systems. Scalable enterprise backends, distributed data frameworks (Hadoop, Kafka), banking platforms, Android core.</t>
  </si>
  <si>
    <t>Web Applications / Node.js Microservices. Full-stack web platforms, real-time API gateways, client-side browser features, serverless edge functions.</t>
  </si>
  <si>
    <t>Cloud Infrastructure / Cloud-Native Services. Cloud tools (Docker, Kubernetes), concurrent microservices, gRPC network services, DevOps systems.</t>
  </si>
  <si>
    <t>DATASET SIZE SCALING BENCHMARK</t>
  </si>
  <si>
    <t>Insertion Time (ms) Across Dataset Sizes (N = 10,000 to 1,000,000)</t>
  </si>
  <si>
    <t>Dataset Size (N)</t>
  </si>
  <si>
    <t>Observation: 'Python was 11.4x slower on insert'. 'Python was slower because each element is wrapped as a dynamic PyObject reached through a pointer, and loops execute in bytecode interpreter.'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</si>
</sst>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&quot;x&quot;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E0E0E0"/>
      <name val="Calibri"/>
    </font>
    <font>
      <b/>
      <sz val="10"/>
      <color rgb="FF555555"/>
      <name val="Calibri"/>
    </font>
    <font>
      <b/>
      <sz val="18"/>
      <color rgb="FF1B365D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i/>
      <sz val="10"/>
      <color rgb="FF1B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  <fill>
      <patternFill patternType="solid">
        <fgColor rgb="FF0F4C5C"/>
        <bgColor rgb="FF0F4C5C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Execution Time (ms) - Lower is Better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 Dashboard'!$A$9</c:f>
              <c:strCache>
                <c:ptCount val="1"/>
                <c:pt idx="0">
                  <c:v>Total Execution Time (ms)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'Benchmark Dashboard'!$B$5:$F$5</c:f>
              <c:strCache>
                <c:ptCount val="5"/>
                <c:pt idx="0">
                  <c:v>C++</c:v>
                </c:pt>
                <c:pt idx="1">
                  <c:v>Python</c:v>
                </c:pt>
                <c:pt idx="2">
                  <c:v>Java</c:v>
                </c:pt>
                <c:pt idx="3">
                  <c:v>JavaScript</c:v>
                </c:pt>
                <c:pt idx="4">
                  <c:v>Go</c:v>
                </c:pt>
              </c:strCache>
            </c:strRef>
          </c:cat>
          <c:val>
            <c:numRef>
              <c:f>'Benchmark Dashboard'!$B$9:$F$9</c:f>
              <c:numCache>
                <c:formatCode>#,##0.0</c:formatCode>
                <c:ptCount val="5"/>
                <c:pt idx="0">
                  <c:v>58.5</c:v>
                </c:pt>
                <c:pt idx="1">
                  <c:v>615.9</c:v>
                </c:pt>
                <c:pt idx="2">
                  <c:v>43.5</c:v>
                </c:pt>
                <c:pt idx="3">
                  <c:v>115.60000000000001</c:v>
                </c:pt>
                <c:pt idx="4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0-4273-8CB2-063A36A6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Programming 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Memory Footprint (MB) - Lower is Better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 Dashboard'!$A$10</c:f>
              <c:strCache>
                <c:ptCount val="1"/>
                <c:pt idx="0">
                  <c:v>Memory Footprint (MB)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'Benchmark Dashboard'!$B$5:$F$5</c:f>
              <c:strCache>
                <c:ptCount val="5"/>
                <c:pt idx="0">
                  <c:v>C++</c:v>
                </c:pt>
                <c:pt idx="1">
                  <c:v>Python</c:v>
                </c:pt>
                <c:pt idx="2">
                  <c:v>Java</c:v>
                </c:pt>
                <c:pt idx="3">
                  <c:v>JavaScript</c:v>
                </c:pt>
                <c:pt idx="4">
                  <c:v>Go</c:v>
                </c:pt>
              </c:strCache>
            </c:strRef>
          </c:cat>
          <c:val>
            <c:numRef>
              <c:f>'Benchmark Dashboard'!$B$10:$F$10</c:f>
              <c:numCache>
                <c:formatCode>#,##0.0</c:formatCode>
                <c:ptCount val="5"/>
                <c:pt idx="0">
                  <c:v>33.9</c:v>
                </c:pt>
                <c:pt idx="1">
                  <c:v>107.2</c:v>
                </c:pt>
                <c:pt idx="2">
                  <c:v>23.2</c:v>
                </c:pt>
                <c:pt idx="3">
                  <c:v>39.76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5-4624-9DD8-9E4C78BF9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Programming Language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Memory (MB)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Insertion Time Scaling (ms) vs Dataset Size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Metrics'!$B$4</c:f>
              <c:strCache>
                <c:ptCount val="1"/>
                <c:pt idx="0">
                  <c:v>C++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Metrics'!$A$5:$A$9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Metrics'!$B$5:$B$9</c:f>
              <c:numCache>
                <c:formatCode>#,##0.0</c:formatCode>
                <c:ptCount val="5"/>
                <c:pt idx="0">
                  <c:v>1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49</c:v>
                </c:pt>
                <c:pt idx="4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1-49C8-9627-9256692841EE}"/>
            </c:ext>
          </c:extLst>
        </c:ser>
        <c:ser>
          <c:idx val="1"/>
          <c:order val="1"/>
          <c:tx>
            <c:strRef>
              <c:f>'Detailed Metrics'!$C$4</c:f>
              <c:strCache>
                <c:ptCount val="1"/>
                <c:pt idx="0">
                  <c:v>Python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Metrics'!$A$5:$A$9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Metrics'!$C$5:$C$9</c:f>
              <c:numCache>
                <c:formatCode>#,##0.0</c:formatCode>
                <c:ptCount val="5"/>
                <c:pt idx="0">
                  <c:v>11.8</c:v>
                </c:pt>
                <c:pt idx="1">
                  <c:v>59</c:v>
                </c:pt>
                <c:pt idx="2">
                  <c:v>118</c:v>
                </c:pt>
                <c:pt idx="3">
                  <c:v>590</c:v>
                </c:pt>
                <c:pt idx="4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1-49C8-9627-9256692841EE}"/>
            </c:ext>
          </c:extLst>
        </c:ser>
        <c:ser>
          <c:idx val="2"/>
          <c:order val="2"/>
          <c:tx>
            <c:strRef>
              <c:f>'Detailed Metrics'!$D$4</c:f>
              <c:strCache>
                <c:ptCount val="1"/>
                <c:pt idx="0">
                  <c:v>Java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Metrics'!$A$5:$A$9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Metrics'!$D$5:$D$9</c:f>
              <c:numCache>
                <c:formatCode>#,##0.0</c:formatCode>
                <c:ptCount val="5"/>
                <c:pt idx="0">
                  <c:v>2.5</c:v>
                </c:pt>
                <c:pt idx="1">
                  <c:v>10</c:v>
                </c:pt>
                <c:pt idx="2">
                  <c:v>19.5</c:v>
                </c:pt>
                <c:pt idx="3">
                  <c:v>85</c:v>
                </c:pt>
                <c:pt idx="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1-49C8-9627-9256692841EE}"/>
            </c:ext>
          </c:extLst>
        </c:ser>
        <c:ser>
          <c:idx val="3"/>
          <c:order val="3"/>
          <c:tx>
            <c:strRef>
              <c:f>'Detailed Metrics'!$E$4</c:f>
              <c:strCache>
                <c:ptCount val="1"/>
                <c:pt idx="0">
                  <c:v>JavaScript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Metrics'!$A$5:$A$9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Metrics'!$E$5:$E$9</c:f>
              <c:numCache>
                <c:formatCode>#,##0.0</c:formatCode>
                <c:ptCount val="5"/>
                <c:pt idx="0">
                  <c:v>3</c:v>
                </c:pt>
                <c:pt idx="1">
                  <c:v>12.5</c:v>
                </c:pt>
                <c:pt idx="2">
                  <c:v>25</c:v>
                </c:pt>
                <c:pt idx="3">
                  <c:v>110</c:v>
                </c:pt>
                <c:pt idx="4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F1-49C8-9627-9256692841EE}"/>
            </c:ext>
          </c:extLst>
        </c:ser>
        <c:ser>
          <c:idx val="4"/>
          <c:order val="4"/>
          <c:tx>
            <c:strRef>
              <c:f>'Detailed Metrics'!$F$4</c:f>
              <c:strCache>
                <c:ptCount val="1"/>
                <c:pt idx="0">
                  <c:v>Go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Metrics'!$A$5:$A$9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Metrics'!$F$5:$F$9</c:f>
              <c:numCache>
                <c:formatCode>#,##0.0</c:formatCode>
                <c:ptCount val="5"/>
                <c:pt idx="0">
                  <c:v>1.3</c:v>
                </c:pt>
                <c:pt idx="1">
                  <c:v>6.5</c:v>
                </c:pt>
                <c:pt idx="2">
                  <c:v>13</c:v>
                </c:pt>
                <c:pt idx="3">
                  <c:v>65</c:v>
                </c:pt>
                <c:pt idx="4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F1-49C8-9627-925669284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Dataset Size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Insert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7" zoomScale="84" zoomScaleNormal="84" workbookViewId="0">
      <selection activeCell="B11" sqref="B11:F11"/>
    </sheetView>
  </sheetViews>
  <sheetFormatPr defaultRowHeight="14.4" x14ac:dyDescent="0.3"/>
  <cols>
    <col min="1" max="1" width="22" customWidth="1"/>
    <col min="2" max="5" width="30" customWidth="1"/>
    <col min="6" max="6" width="32" customWidth="1"/>
  </cols>
  <sheetData>
    <row r="1" spans="1:6" ht="28.05" customHeight="1" x14ac:dyDescent="0.3">
      <c r="A1" s="16" t="s">
        <v>0</v>
      </c>
      <c r="B1" s="17"/>
      <c r="C1" s="17"/>
      <c r="D1" s="17"/>
      <c r="E1" s="17"/>
      <c r="F1" s="17"/>
    </row>
    <row r="2" spans="1:6" ht="19.95" customHeight="1" x14ac:dyDescent="0.3">
      <c r="A2" s="23" t="s">
        <v>1</v>
      </c>
      <c r="B2" s="17"/>
      <c r="C2" s="17"/>
      <c r="D2" s="17"/>
      <c r="E2" s="17"/>
      <c r="F2" s="17"/>
    </row>
    <row r="4" spans="1:6" ht="18" customHeight="1" x14ac:dyDescent="0.3">
      <c r="A4" s="27" t="s">
        <v>2</v>
      </c>
      <c r="B4" s="27"/>
      <c r="C4" s="1" t="s">
        <v>3</v>
      </c>
      <c r="D4" s="1" t="s">
        <v>4</v>
      </c>
      <c r="E4" s="1" t="s">
        <v>5</v>
      </c>
      <c r="F4" s="1" t="s">
        <v>6</v>
      </c>
    </row>
    <row r="5" spans="1:6" ht="28.05" customHeight="1" x14ac:dyDescent="0.3">
      <c r="A5" s="26" t="s">
        <v>7</v>
      </c>
      <c r="B5" s="26"/>
      <c r="C5" s="2" t="s">
        <v>8</v>
      </c>
      <c r="D5" s="2" t="s">
        <v>9</v>
      </c>
      <c r="E5" s="2" t="s">
        <v>10</v>
      </c>
      <c r="F5" s="2" t="s">
        <v>11</v>
      </c>
    </row>
    <row r="7" spans="1:6" ht="24" customHeight="1" x14ac:dyDescent="0.3">
      <c r="A7" s="22" t="s">
        <v>12</v>
      </c>
      <c r="B7" s="17"/>
      <c r="C7" s="17"/>
      <c r="D7" s="17"/>
      <c r="E7" s="17"/>
      <c r="F7" s="17"/>
    </row>
    <row r="8" spans="1:6" ht="36" customHeight="1" x14ac:dyDescent="0.3">
      <c r="A8" s="3" t="s">
        <v>13</v>
      </c>
      <c r="B8" s="20" t="s">
        <v>14</v>
      </c>
      <c r="C8" s="21"/>
      <c r="D8" s="21"/>
      <c r="E8" s="21"/>
      <c r="F8" s="21"/>
    </row>
    <row r="9" spans="1:6" ht="36" customHeight="1" x14ac:dyDescent="0.3">
      <c r="A9" s="5" t="s">
        <v>15</v>
      </c>
      <c r="B9" s="24" t="s">
        <v>114</v>
      </c>
      <c r="C9" s="25"/>
      <c r="D9" s="25"/>
      <c r="E9" s="25"/>
      <c r="F9" s="25"/>
    </row>
    <row r="10" spans="1:6" ht="36" customHeight="1" x14ac:dyDescent="0.3">
      <c r="A10" s="3" t="s">
        <v>16</v>
      </c>
      <c r="B10" s="20" t="s">
        <v>17</v>
      </c>
      <c r="C10" s="21"/>
      <c r="D10" s="21"/>
      <c r="E10" s="21"/>
      <c r="F10" s="21"/>
    </row>
    <row r="11" spans="1:6" ht="36" customHeight="1" x14ac:dyDescent="0.3">
      <c r="A11" s="5" t="s">
        <v>18</v>
      </c>
      <c r="B11" s="24" t="s">
        <v>19</v>
      </c>
      <c r="C11" s="25"/>
      <c r="D11" s="25"/>
      <c r="E11" s="25"/>
      <c r="F11" s="25"/>
    </row>
    <row r="13" spans="1:6" ht="24" customHeight="1" x14ac:dyDescent="0.3">
      <c r="A13" s="22" t="s">
        <v>20</v>
      </c>
      <c r="B13" s="17"/>
      <c r="C13" s="17"/>
      <c r="D13" s="17"/>
      <c r="E13" s="17"/>
      <c r="F13" s="17"/>
    </row>
    <row r="14" spans="1:6" ht="22.05" customHeight="1" x14ac:dyDescent="0.3">
      <c r="A14" s="7" t="s">
        <v>21</v>
      </c>
      <c r="B14" s="7" t="s">
        <v>22</v>
      </c>
      <c r="C14" s="7" t="s">
        <v>23</v>
      </c>
      <c r="D14" s="7" t="s">
        <v>24</v>
      </c>
      <c r="E14" s="7" t="s">
        <v>25</v>
      </c>
      <c r="F14" s="7" t="s">
        <v>26</v>
      </c>
    </row>
    <row r="15" spans="1:6" ht="31.95" customHeight="1" x14ac:dyDescent="0.3">
      <c r="A15" s="8" t="s">
        <v>27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32</v>
      </c>
    </row>
    <row r="16" spans="1:6" ht="31.95" customHeight="1" x14ac:dyDescent="0.3">
      <c r="A16" s="9" t="s">
        <v>33</v>
      </c>
      <c r="B16" s="4" t="s">
        <v>34</v>
      </c>
      <c r="C16" s="4" t="s">
        <v>35</v>
      </c>
      <c r="D16" s="4" t="s">
        <v>36</v>
      </c>
      <c r="E16" s="4" t="s">
        <v>37</v>
      </c>
      <c r="F16" s="4" t="s">
        <v>38</v>
      </c>
    </row>
    <row r="17" spans="1:6" ht="31.95" customHeight="1" x14ac:dyDescent="0.3">
      <c r="A17" s="8" t="s">
        <v>39</v>
      </c>
      <c r="B17" s="6" t="s">
        <v>40</v>
      </c>
      <c r="C17" s="6" t="s">
        <v>41</v>
      </c>
      <c r="D17" s="6" t="s">
        <v>40</v>
      </c>
      <c r="E17" s="6" t="s">
        <v>42</v>
      </c>
      <c r="F17" s="6" t="s">
        <v>43</v>
      </c>
    </row>
    <row r="18" spans="1:6" ht="31.95" customHeight="1" x14ac:dyDescent="0.3">
      <c r="A18" s="9" t="s">
        <v>44</v>
      </c>
      <c r="B18" s="4" t="s">
        <v>45</v>
      </c>
      <c r="C18" s="4" t="s">
        <v>46</v>
      </c>
      <c r="D18" s="4" t="s">
        <v>47</v>
      </c>
      <c r="E18" s="4" t="s">
        <v>48</v>
      </c>
      <c r="F18" s="4" t="s">
        <v>49</v>
      </c>
    </row>
    <row r="19" spans="1:6" ht="31.95" customHeight="1" x14ac:dyDescent="0.3">
      <c r="A19" s="8" t="s">
        <v>50</v>
      </c>
      <c r="B19" s="6" t="s">
        <v>51</v>
      </c>
      <c r="C19" s="6" t="s">
        <v>52</v>
      </c>
      <c r="D19" s="6" t="s">
        <v>53</v>
      </c>
      <c r="E19" s="6" t="s">
        <v>54</v>
      </c>
      <c r="F19" s="6" t="s">
        <v>55</v>
      </c>
    </row>
    <row r="21" spans="1:6" ht="24" customHeight="1" x14ac:dyDescent="0.3">
      <c r="A21" s="22" t="s">
        <v>56</v>
      </c>
      <c r="B21" s="17"/>
      <c r="C21" s="17"/>
      <c r="D21" s="17"/>
      <c r="E21" s="17"/>
      <c r="F21" s="17"/>
    </row>
    <row r="22" spans="1:6" ht="22.05" customHeight="1" x14ac:dyDescent="0.3">
      <c r="A22" s="7" t="s">
        <v>57</v>
      </c>
      <c r="B22" s="18" t="s">
        <v>58</v>
      </c>
      <c r="C22" s="19"/>
      <c r="D22" s="18" t="s">
        <v>59</v>
      </c>
      <c r="E22" s="19"/>
      <c r="F22" s="19"/>
    </row>
    <row r="23" spans="1:6" ht="30" customHeight="1" x14ac:dyDescent="0.3">
      <c r="A23" s="8" t="s">
        <v>22</v>
      </c>
      <c r="B23" s="24" t="s">
        <v>60</v>
      </c>
      <c r="C23" s="25"/>
      <c r="D23" s="24" t="s">
        <v>61</v>
      </c>
      <c r="E23" s="25"/>
      <c r="F23" s="25"/>
    </row>
    <row r="24" spans="1:6" ht="30" customHeight="1" x14ac:dyDescent="0.3">
      <c r="A24" s="9" t="s">
        <v>23</v>
      </c>
      <c r="B24" s="20" t="s">
        <v>62</v>
      </c>
      <c r="C24" s="21"/>
      <c r="D24" s="20" t="s">
        <v>63</v>
      </c>
      <c r="E24" s="21"/>
      <c r="F24" s="21"/>
    </row>
    <row r="25" spans="1:6" ht="30" customHeight="1" x14ac:dyDescent="0.3">
      <c r="A25" s="8" t="s">
        <v>24</v>
      </c>
      <c r="B25" s="24" t="s">
        <v>64</v>
      </c>
      <c r="C25" s="25"/>
      <c r="D25" s="24" t="s">
        <v>65</v>
      </c>
      <c r="E25" s="25"/>
      <c r="F25" s="25"/>
    </row>
    <row r="26" spans="1:6" ht="30" customHeight="1" x14ac:dyDescent="0.3">
      <c r="A26" s="9" t="s">
        <v>66</v>
      </c>
      <c r="B26" s="20" t="s">
        <v>67</v>
      </c>
      <c r="C26" s="21"/>
      <c r="D26" s="20" t="s">
        <v>68</v>
      </c>
      <c r="E26" s="21"/>
      <c r="F26" s="21"/>
    </row>
    <row r="27" spans="1:6" ht="30" customHeight="1" x14ac:dyDescent="0.3">
      <c r="A27" s="8" t="s">
        <v>26</v>
      </c>
      <c r="B27" s="24" t="s">
        <v>69</v>
      </c>
      <c r="C27" s="25"/>
      <c r="D27" s="24" t="s">
        <v>70</v>
      </c>
      <c r="E27" s="25"/>
      <c r="F27" s="25"/>
    </row>
  </sheetData>
  <mergeCells count="23">
    <mergeCell ref="A21:F21"/>
    <mergeCell ref="D26:F26"/>
    <mergeCell ref="B24:C24"/>
    <mergeCell ref="D27:F27"/>
    <mergeCell ref="B25:C25"/>
    <mergeCell ref="B22:C22"/>
    <mergeCell ref="B27:C27"/>
    <mergeCell ref="A1:F1"/>
    <mergeCell ref="D22:F22"/>
    <mergeCell ref="B26:C26"/>
    <mergeCell ref="A7:F7"/>
    <mergeCell ref="A2:F2"/>
    <mergeCell ref="B11:F11"/>
    <mergeCell ref="B23:C23"/>
    <mergeCell ref="B8:F8"/>
    <mergeCell ref="D25:F25"/>
    <mergeCell ref="D24:F24"/>
    <mergeCell ref="A13:F13"/>
    <mergeCell ref="D23:F23"/>
    <mergeCell ref="B10:F10"/>
    <mergeCell ref="A5:B5"/>
    <mergeCell ref="B9:F9"/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81" workbookViewId="0">
      <selection activeCell="A4" sqref="A4:F4"/>
    </sheetView>
  </sheetViews>
  <sheetFormatPr defaultRowHeight="14.4" x14ac:dyDescent="0.3"/>
  <cols>
    <col min="1" max="1" width="28" customWidth="1"/>
    <col min="2" max="6" width="34" customWidth="1"/>
  </cols>
  <sheetData>
    <row r="1" spans="1:6" ht="28.05" customHeight="1" x14ac:dyDescent="0.3">
      <c r="A1" s="16" t="s">
        <v>71</v>
      </c>
      <c r="B1" s="17"/>
      <c r="C1" s="17"/>
      <c r="D1" s="17"/>
      <c r="E1" s="17"/>
      <c r="F1" s="17"/>
    </row>
    <row r="2" spans="1:6" ht="19.95" customHeight="1" x14ac:dyDescent="0.3">
      <c r="A2" s="23" t="s">
        <v>72</v>
      </c>
      <c r="B2" s="17"/>
      <c r="C2" s="17"/>
      <c r="D2" s="17"/>
      <c r="E2" s="17"/>
      <c r="F2" s="17"/>
    </row>
    <row r="4" spans="1:6" ht="22.05" customHeight="1" x14ac:dyDescent="0.3">
      <c r="A4" s="28" t="s">
        <v>73</v>
      </c>
      <c r="B4" s="17"/>
      <c r="C4" s="17"/>
      <c r="D4" s="17"/>
      <c r="E4" s="17"/>
      <c r="F4" s="17"/>
    </row>
    <row r="5" spans="1:6" ht="25.05" customHeight="1" x14ac:dyDescent="0.3">
      <c r="A5" s="7" t="s">
        <v>74</v>
      </c>
      <c r="B5" s="7" t="s">
        <v>22</v>
      </c>
      <c r="C5" s="7" t="s">
        <v>23</v>
      </c>
      <c r="D5" s="7" t="s">
        <v>24</v>
      </c>
      <c r="E5" s="7" t="s">
        <v>66</v>
      </c>
      <c r="F5" s="7" t="s">
        <v>26</v>
      </c>
    </row>
    <row r="6" spans="1:6" ht="55.05" customHeight="1" x14ac:dyDescent="0.3">
      <c r="A6" s="3" t="s">
        <v>75</v>
      </c>
      <c r="B6" s="4" t="s">
        <v>76</v>
      </c>
      <c r="C6" s="4" t="s">
        <v>77</v>
      </c>
      <c r="D6" s="4" t="s">
        <v>78</v>
      </c>
      <c r="E6" s="4" t="s">
        <v>79</v>
      </c>
      <c r="F6" s="4" t="s">
        <v>80</v>
      </c>
    </row>
    <row r="7" spans="1:6" ht="22.05" customHeight="1" x14ac:dyDescent="0.3">
      <c r="A7" s="3" t="s">
        <v>81</v>
      </c>
      <c r="B7" s="10">
        <v>49.9</v>
      </c>
      <c r="C7" s="10">
        <v>569.6</v>
      </c>
      <c r="D7" s="10">
        <v>36.200000000000003</v>
      </c>
      <c r="E7" s="10">
        <v>103.9</v>
      </c>
      <c r="F7" s="10">
        <v>40.5</v>
      </c>
    </row>
    <row r="8" spans="1:6" ht="22.05" customHeight="1" x14ac:dyDescent="0.3">
      <c r="A8" s="3" t="s">
        <v>82</v>
      </c>
      <c r="B8" s="10">
        <v>8.6</v>
      </c>
      <c r="C8" s="10">
        <v>46.3</v>
      </c>
      <c r="D8" s="10">
        <v>7.3</v>
      </c>
      <c r="E8" s="10">
        <v>11.7</v>
      </c>
      <c r="F8" s="10">
        <v>5</v>
      </c>
    </row>
    <row r="9" spans="1:6" ht="22.05" customHeight="1" x14ac:dyDescent="0.3">
      <c r="A9" s="11" t="s">
        <v>83</v>
      </c>
      <c r="B9" s="12">
        <f>B7+B8</f>
        <v>58.5</v>
      </c>
      <c r="C9" s="12">
        <f>C7+C8</f>
        <v>615.9</v>
      </c>
      <c r="D9" s="12">
        <f>D7+D8</f>
        <v>43.5</v>
      </c>
      <c r="E9" s="12">
        <f>E7+E8</f>
        <v>115.60000000000001</v>
      </c>
      <c r="F9" s="12">
        <f>F7+F8</f>
        <v>45.5</v>
      </c>
    </row>
    <row r="10" spans="1:6" ht="22.05" customHeight="1" x14ac:dyDescent="0.3">
      <c r="A10" s="3" t="s">
        <v>84</v>
      </c>
      <c r="B10" s="10">
        <v>33.9</v>
      </c>
      <c r="C10" s="10">
        <v>107.2</v>
      </c>
      <c r="D10" s="10">
        <v>23.2</v>
      </c>
      <c r="E10" s="10">
        <v>39.76</v>
      </c>
      <c r="F10" s="10">
        <v>16</v>
      </c>
    </row>
    <row r="11" spans="1:6" ht="22.05" customHeight="1" x14ac:dyDescent="0.3">
      <c r="A11" s="11" t="s">
        <v>85</v>
      </c>
      <c r="B11" s="13">
        <f>C7/B7</f>
        <v>11.414829659318638</v>
      </c>
      <c r="C11" s="13">
        <f>C7/C7</f>
        <v>1</v>
      </c>
      <c r="D11" s="13">
        <f>C7/D7</f>
        <v>15.734806629834253</v>
      </c>
      <c r="E11" s="13">
        <f>C7/E7</f>
        <v>5.4821944177093362</v>
      </c>
      <c r="F11" s="13">
        <f>C7/F7</f>
        <v>14.064197530864199</v>
      </c>
    </row>
    <row r="12" spans="1:6" ht="22.05" customHeight="1" x14ac:dyDescent="0.3">
      <c r="A12" s="11" t="s">
        <v>86</v>
      </c>
      <c r="B12" s="13">
        <f>B10/F10</f>
        <v>2.1187499999999999</v>
      </c>
      <c r="C12" s="13">
        <f>C10/F10</f>
        <v>6.7</v>
      </c>
      <c r="D12" s="13">
        <f>D10/F10</f>
        <v>1.45</v>
      </c>
      <c r="E12" s="13">
        <f>E10/F10</f>
        <v>2.4849999999999999</v>
      </c>
      <c r="F12" s="13">
        <f>F10/F10</f>
        <v>1</v>
      </c>
    </row>
    <row r="13" spans="1:6" ht="55.05" customHeight="1" x14ac:dyDescent="0.3">
      <c r="A13" s="3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</row>
    <row r="14" spans="1:6" ht="55.05" customHeight="1" x14ac:dyDescent="0.3">
      <c r="A14" s="3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</row>
    <row r="15" spans="1:6" ht="55.05" customHeight="1" x14ac:dyDescent="0.3">
      <c r="A15" s="3" t="s">
        <v>99</v>
      </c>
      <c r="B15" s="4" t="s">
        <v>100</v>
      </c>
      <c r="C15" s="4" t="s">
        <v>101</v>
      </c>
      <c r="D15" s="4" t="s">
        <v>102</v>
      </c>
      <c r="E15" s="4" t="s">
        <v>103</v>
      </c>
      <c r="F15" s="4" t="s">
        <v>104</v>
      </c>
    </row>
    <row r="16" spans="1:6" ht="55.05" customHeight="1" x14ac:dyDescent="0.3">
      <c r="A16" s="3" t="s">
        <v>105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110</v>
      </c>
    </row>
  </sheetData>
  <mergeCells count="3">
    <mergeCell ref="A2:F2"/>
    <mergeCell ref="A1:F1"/>
    <mergeCell ref="A4:F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="62" workbookViewId="0">
      <selection activeCell="F35" sqref="F35"/>
    </sheetView>
  </sheetViews>
  <sheetFormatPr defaultRowHeight="14.4" x14ac:dyDescent="0.3"/>
  <cols>
    <col min="1" max="6" width="22" customWidth="1"/>
  </cols>
  <sheetData>
    <row r="1" spans="1:6" ht="28.05" customHeight="1" x14ac:dyDescent="0.3">
      <c r="A1" s="16" t="s">
        <v>111</v>
      </c>
      <c r="B1" s="17"/>
      <c r="C1" s="17"/>
      <c r="D1" s="17"/>
      <c r="E1" s="17"/>
      <c r="F1" s="17"/>
    </row>
    <row r="2" spans="1:6" ht="19.95" customHeight="1" x14ac:dyDescent="0.3">
      <c r="A2" s="23" t="s">
        <v>112</v>
      </c>
      <c r="B2" s="17"/>
      <c r="C2" s="17"/>
      <c r="D2" s="17"/>
      <c r="E2" s="17"/>
      <c r="F2" s="17"/>
    </row>
    <row r="4" spans="1:6" ht="24" customHeight="1" x14ac:dyDescent="0.3">
      <c r="A4" s="7" t="s">
        <v>113</v>
      </c>
      <c r="B4" s="7" t="s">
        <v>22</v>
      </c>
      <c r="C4" s="7" t="s">
        <v>23</v>
      </c>
      <c r="D4" s="7" t="s">
        <v>24</v>
      </c>
      <c r="E4" s="7" t="s">
        <v>66</v>
      </c>
      <c r="F4" s="7" t="s">
        <v>26</v>
      </c>
    </row>
    <row r="5" spans="1:6" ht="22.05" customHeight="1" x14ac:dyDescent="0.3">
      <c r="A5" s="14">
        <v>10000</v>
      </c>
      <c r="B5" s="15">
        <v>1</v>
      </c>
      <c r="C5" s="15">
        <v>11.8</v>
      </c>
      <c r="D5" s="15">
        <v>2.5</v>
      </c>
      <c r="E5" s="15">
        <v>3</v>
      </c>
      <c r="F5" s="15">
        <v>1.3</v>
      </c>
    </row>
    <row r="6" spans="1:6" ht="22.05" customHeight="1" x14ac:dyDescent="0.3">
      <c r="A6" s="14">
        <v>50000</v>
      </c>
      <c r="B6" s="10">
        <v>4.9000000000000004</v>
      </c>
      <c r="C6" s="10">
        <v>59</v>
      </c>
      <c r="D6" s="10">
        <v>10</v>
      </c>
      <c r="E6" s="10">
        <v>12.5</v>
      </c>
      <c r="F6" s="10">
        <v>6.5</v>
      </c>
    </row>
    <row r="7" spans="1:6" ht="22.05" customHeight="1" x14ac:dyDescent="0.3">
      <c r="A7" s="14">
        <v>100000</v>
      </c>
      <c r="B7" s="15">
        <v>9.8000000000000007</v>
      </c>
      <c r="C7" s="15">
        <v>118</v>
      </c>
      <c r="D7" s="15">
        <v>19.5</v>
      </c>
      <c r="E7" s="15">
        <v>25</v>
      </c>
      <c r="F7" s="15">
        <v>13</v>
      </c>
    </row>
    <row r="8" spans="1:6" ht="22.05" customHeight="1" x14ac:dyDescent="0.3">
      <c r="A8" s="14">
        <v>500000</v>
      </c>
      <c r="B8" s="10">
        <v>49</v>
      </c>
      <c r="C8" s="10">
        <v>590</v>
      </c>
      <c r="D8" s="10">
        <v>85</v>
      </c>
      <c r="E8" s="10">
        <v>110</v>
      </c>
      <c r="F8" s="10">
        <v>65</v>
      </c>
    </row>
    <row r="9" spans="1:6" ht="22.05" customHeight="1" x14ac:dyDescent="0.3">
      <c r="A9" s="14">
        <v>1000000</v>
      </c>
      <c r="B9" s="15">
        <v>98.5</v>
      </c>
      <c r="C9" s="15">
        <v>1180</v>
      </c>
      <c r="D9" s="15">
        <v>165</v>
      </c>
      <c r="E9" s="15">
        <v>215</v>
      </c>
      <c r="F9" s="15">
        <v>130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Benchmark Dashboard</vt:lpstr>
      <vt:lpstr>Detailed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Trung Kiên</cp:lastModifiedBy>
  <dcterms:created xsi:type="dcterms:W3CDTF">2026-10-08T06:10:26Z</dcterms:created>
  <dcterms:modified xsi:type="dcterms:W3CDTF">2026-10-08T06:30:03Z</dcterms:modified>
</cp:coreProperties>
</file>